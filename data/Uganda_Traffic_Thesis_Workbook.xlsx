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drawings/drawing2.xml" ContentType="application/vnd.openxmlformats-officedocument.drawing+xml"/>
  <Override PartName="/xl/tables/table9.xml" ContentType="application/vnd.openxmlformats-officedocument.spreadsheetml.table+xml"/>
  <Override PartName="/xl/charts/chart2.xml" ContentType="application/vnd.openxmlformats-officedocument.drawingml.chart+xml"/>
  <Override PartName="/xl/tables/table10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My Drive\MOWT\Uganda National Road Network Repository\datasciencetrials_local\tricycles\data\"/>
    </mc:Choice>
  </mc:AlternateContent>
  <xr:revisionPtr revIDLastSave="0" documentId="13_ncr:1_{A59D1EE0-2215-4EA8-8686-E16FC8CA7B8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raffic_Data_2021" sheetId="1" r:id="rId1"/>
    <sheet name="Annual_Trends" sheetId="2" r:id="rId2"/>
    <sheet name="Monthly_Trends" sheetId="3" r:id="rId3"/>
    <sheet name="Vehicle_Class_2021" sheetId="4" r:id="rId4"/>
    <sheet name="Region_Summary_2021" sheetId="5" r:id="rId5"/>
    <sheet name="Surface_Summary_2021" sheetId="6" r:id="rId6"/>
    <sheet name="ATC_Performance" sheetId="7" r:id="rId7"/>
    <sheet name="Dimension_Coverage" sheetId="8" r:id="rId8"/>
    <sheet name="Growth_Projection_Tool" sheetId="9" r:id="rId9"/>
    <sheet name="Sources_Method" sheetId="10" r:id="rId10"/>
  </sheets>
  <definedNames>
    <definedName name="_xlnm.Print_Area" localSheetId="1">Annual_Trends!$A$1:$M$7</definedName>
    <definedName name="_xlnm.Print_Area" localSheetId="6">ATC_Performance!$A$1:$D$9</definedName>
    <definedName name="_xlnm.Print_Area" localSheetId="7">Dimension_Coverage!$A$1:$C$12</definedName>
    <definedName name="_xlnm.Print_Area" localSheetId="8">Growth_Projection_Tool!$A$1:$D$23</definedName>
    <definedName name="_xlnm.Print_Area" localSheetId="2">Monthly_Trends!$A$1:$I$27</definedName>
    <definedName name="_xlnm.Print_Area" localSheetId="4">Region_Summary_2021!$A$1:$F$9</definedName>
    <definedName name="_xlnm.Print_Area" localSheetId="9">Sources_Method!$A$1:$B$16</definedName>
    <definedName name="_xlnm.Print_Area" localSheetId="5">Surface_Summary_2021!$A$1:$G$4</definedName>
    <definedName name="_xlnm.Print_Area" localSheetId="0">Traffic_Data_2021!$A$1:$Y$225</definedName>
    <definedName name="_xlnm.Print_Area" localSheetId="3">Vehicle_Class_2021!$A$1:$E$14</definedName>
    <definedName name="_xlnm.Print_Titles" localSheetId="1">Annual_Trends!$1:$3</definedName>
    <definedName name="_xlnm.Print_Titles" localSheetId="6">ATC_Performance!$1:$3</definedName>
    <definedName name="_xlnm.Print_Titles" localSheetId="7">Dimension_Coverage!$1:$3</definedName>
    <definedName name="_xlnm.Print_Titles" localSheetId="8">Growth_Projection_Tool!$1:$3</definedName>
    <definedName name="_xlnm.Print_Titles" localSheetId="2">Monthly_Trends!$1:$3</definedName>
    <definedName name="_xlnm.Print_Titles" localSheetId="4">Region_Summary_2021!$1:$3</definedName>
    <definedName name="_xlnm.Print_Titles" localSheetId="9">Sources_Method!$1:$3</definedName>
    <definedName name="_xlnm.Print_Titles" localSheetId="5">Surface_Summary_2021!$1:$3</definedName>
    <definedName name="_xlnm.Print_Titles" localSheetId="0">Traffic_Data_2021!$1:$3</definedName>
    <definedName name="_xlnm.Print_Titles" localSheetId="3">Vehicle_Class_2021!$1:$3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3" i="9" l="1"/>
  <c r="B22" i="9"/>
  <c r="B21" i="9"/>
  <c r="B20" i="9"/>
  <c r="B19" i="9"/>
  <c r="B18" i="9"/>
  <c r="B17" i="9"/>
  <c r="B16" i="9"/>
  <c r="B15" i="9"/>
  <c r="B14" i="9"/>
  <c r="B13" i="9"/>
  <c r="B12" i="9"/>
  <c r="B11" i="9"/>
  <c r="B10" i="9"/>
</calcChain>
</file>

<file path=xl/sharedStrings.xml><?xml version="1.0" encoding="utf-8"?>
<sst xmlns="http://schemas.openxmlformats.org/spreadsheetml/2006/main" count="2104" uniqueCount="866">
  <si>
    <t>Complete 2021 Observed Station Population</t>
  </si>
  <si>
    <t>Observed station AADT. Surface Type is normalised to Paved or Unpaved. Annual station records do not contain observation dates, so Financial Year is explicitly unavailable rather than inferred.</t>
  </si>
  <si>
    <t>Section_ID</t>
  </si>
  <si>
    <t>Link_ID</t>
  </si>
  <si>
    <t>Link_Name</t>
  </si>
  <si>
    <t>Station</t>
  </si>
  <si>
    <t>Region</t>
  </si>
  <si>
    <t>Surface_Type</t>
  </si>
  <si>
    <t>Latitude</t>
  </si>
  <si>
    <t>Longitude</t>
  </si>
  <si>
    <t>Observed_Days</t>
  </si>
  <si>
    <t>ADT_including_motorbikes</t>
  </si>
  <si>
    <t>ADT_excluding_motorbikes</t>
  </si>
  <si>
    <t>NMT</t>
  </si>
  <si>
    <t>Motorcycles &amp; scooters</t>
  </si>
  <si>
    <t>Saloon cars and taxis</t>
  </si>
  <si>
    <t>Light goods, vans, pickups and 4WD</t>
  </si>
  <si>
    <t>Small buses, minibuses and matatus</t>
  </si>
  <si>
    <t>Medium buses / coasters</t>
  </si>
  <si>
    <t>Large buses</t>
  </si>
  <si>
    <t>Light single-unit trucks</t>
  </si>
  <si>
    <t>Medium / large single-unit trucks</t>
  </si>
  <si>
    <t>Truck trailers and semi-trailers</t>
  </si>
  <si>
    <t>Share_of_observed_aadt</t>
  </si>
  <si>
    <t>Source_Year</t>
  </si>
  <si>
    <t>Financial_Year</t>
  </si>
  <si>
    <t>Evidence_Status</t>
  </si>
  <si>
    <t>C15204</t>
  </si>
  <si>
    <t>C152_Link01</t>
  </si>
  <si>
    <t>Kireka-Namugongo-Misindye-Seeta</t>
  </si>
  <si>
    <t>Kampala</t>
  </si>
  <si>
    <t>Central</t>
  </si>
  <si>
    <t>Paved</t>
  </si>
  <si>
    <t>Unavailable in annual station source</t>
  </si>
  <si>
    <t>Observed station AADT</t>
  </si>
  <si>
    <t>A010_LINK01</t>
  </si>
  <si>
    <t>A010_Link01</t>
  </si>
  <si>
    <t>Nsambya-Kabalagala-Gaba</t>
  </si>
  <si>
    <t>A00107</t>
  </si>
  <si>
    <t>A001_Link01</t>
  </si>
  <si>
    <t>Kampala - Mukono</t>
  </si>
  <si>
    <t>A006_LINK02</t>
  </si>
  <si>
    <t>A006_Link02</t>
  </si>
  <si>
    <t>Kawempe - Matuga</t>
  </si>
  <si>
    <t>A00810</t>
  </si>
  <si>
    <t>A008_Link07</t>
  </si>
  <si>
    <t>Koboko - Oraba(Uganda/Sudan border)</t>
  </si>
  <si>
    <t>Arua</t>
  </si>
  <si>
    <t>Northern</t>
  </si>
  <si>
    <t>A00205</t>
  </si>
  <si>
    <t>A002_Link03</t>
  </si>
  <si>
    <t>Mpigi - Buwama</t>
  </si>
  <si>
    <t>Mpigi</t>
  </si>
  <si>
    <t>A002_LINK02</t>
  </si>
  <si>
    <t>A002_Link02</t>
  </si>
  <si>
    <t>Busega - Mpigi</t>
  </si>
  <si>
    <t>A00902</t>
  </si>
  <si>
    <t>A009_Link02</t>
  </si>
  <si>
    <t>Nansana - Busunju</t>
  </si>
  <si>
    <t>A00401</t>
  </si>
  <si>
    <t>A004_Link01</t>
  </si>
  <si>
    <t>Masaka round about - Kyotera</t>
  </si>
  <si>
    <t>Masaka</t>
  </si>
  <si>
    <t>A00303</t>
  </si>
  <si>
    <t>A003_Link02</t>
  </si>
  <si>
    <t>Zana - Entebbe Airport</t>
  </si>
  <si>
    <t>A00606</t>
  </si>
  <si>
    <t>A006_Link03</t>
  </si>
  <si>
    <t>Matuga - Wobulenzi</t>
  </si>
  <si>
    <t>Luwero</t>
  </si>
  <si>
    <t>A00515</t>
  </si>
  <si>
    <t>A005_Link06</t>
  </si>
  <si>
    <t>Kitenga-Mubende-Lusalira</t>
  </si>
  <si>
    <t>Mubende</t>
  </si>
  <si>
    <t>C74001</t>
  </si>
  <si>
    <t>C740_Link01</t>
  </si>
  <si>
    <t>Koboko - Yumbe</t>
  </si>
  <si>
    <t>C30201</t>
  </si>
  <si>
    <t>C302_Link01</t>
  </si>
  <si>
    <t>Gayaza-Zirobwe</t>
  </si>
  <si>
    <t>A00211</t>
  </si>
  <si>
    <t>A002_Link04</t>
  </si>
  <si>
    <t>Buwama - Lukaya</t>
  </si>
  <si>
    <t>A006_LINK04</t>
  </si>
  <si>
    <t>A006_Link04</t>
  </si>
  <si>
    <t>Wobulenzi - Kasana - Luweero</t>
  </si>
  <si>
    <t>C15003</t>
  </si>
  <si>
    <t>C150_Link01</t>
  </si>
  <si>
    <t>Najjanankumbi - Busabala</t>
  </si>
  <si>
    <t>C17901</t>
  </si>
  <si>
    <t>C179_Link01</t>
  </si>
  <si>
    <t>Old Masaka Road (Kyengera -Kabojja Secondary)</t>
  </si>
  <si>
    <t>C78103</t>
  </si>
  <si>
    <t>C781_Link02</t>
  </si>
  <si>
    <t>Mayuge - Kaluuba</t>
  </si>
  <si>
    <t>Jinja</t>
  </si>
  <si>
    <t>Eastern</t>
  </si>
  <si>
    <t>B25002</t>
  </si>
  <si>
    <t>B250_Link01</t>
  </si>
  <si>
    <t>Atiak - Moyo</t>
  </si>
  <si>
    <t>Moyo</t>
  </si>
  <si>
    <t>B25001</t>
  </si>
  <si>
    <t>C72201</t>
  </si>
  <si>
    <t>C722_Link01</t>
  </si>
  <si>
    <t>Moyo - Obongi</t>
  </si>
  <si>
    <t>B103_LINK01</t>
  </si>
  <si>
    <t>B103_Link01</t>
  </si>
  <si>
    <t>Nyendo - Villa Maria</t>
  </si>
  <si>
    <t>C56301</t>
  </si>
  <si>
    <t>C563_Link01</t>
  </si>
  <si>
    <t>Muhooro-Ndaiga-L. Albert</t>
  </si>
  <si>
    <t>Hoima</t>
  </si>
  <si>
    <t>Western</t>
  </si>
  <si>
    <t>C15401</t>
  </si>
  <si>
    <t>C154_Link01</t>
  </si>
  <si>
    <t>Matugga - Semuto - Kapeka</t>
  </si>
  <si>
    <t>A00214</t>
  </si>
  <si>
    <t>A002_Link06</t>
  </si>
  <si>
    <t>Masaka  - Lyantonde</t>
  </si>
  <si>
    <t>A005_LINK02</t>
  </si>
  <si>
    <t>A005_Link02</t>
  </si>
  <si>
    <t>Bujuuko - Mityana</t>
  </si>
  <si>
    <t>C92001</t>
  </si>
  <si>
    <t>C920_Link01</t>
  </si>
  <si>
    <t>Kumi-Brooks corner</t>
  </si>
  <si>
    <t>Soroti</t>
  </si>
  <si>
    <t>North Eastern</t>
  </si>
  <si>
    <t>C79202</t>
  </si>
  <si>
    <t>C792_Link01</t>
  </si>
  <si>
    <t>Kaitabawaala - Buyala - Namagera</t>
  </si>
  <si>
    <t>A00509</t>
  </si>
  <si>
    <t>A005_Link03</t>
  </si>
  <si>
    <t>Mityana - Naama - Myanzi</t>
  </si>
  <si>
    <t>C03601</t>
  </si>
  <si>
    <t>C036_Link01</t>
  </si>
  <si>
    <t>Nambole - Kampala Industrial Park - Mukono</t>
  </si>
  <si>
    <t>A00610</t>
  </si>
  <si>
    <t>A006_Link05</t>
  </si>
  <si>
    <t>Luweero - Nakasongola</t>
  </si>
  <si>
    <t>A00623</t>
  </si>
  <si>
    <t>A006_Link11</t>
  </si>
  <si>
    <t>Minakulu - Bobi - Gulu</t>
  </si>
  <si>
    <t>Gulu</t>
  </si>
  <si>
    <t>B25202</t>
  </si>
  <si>
    <t>B252_Link01</t>
  </si>
  <si>
    <t>Lira - Puranga Bridge</t>
  </si>
  <si>
    <t>Lira</t>
  </si>
  <si>
    <t>C65601</t>
  </si>
  <si>
    <t>C656_Link01</t>
  </si>
  <si>
    <t>Namasale - Alemere</t>
  </si>
  <si>
    <t>C83201</t>
  </si>
  <si>
    <t>C832_Link01</t>
  </si>
  <si>
    <t>Tororo-Nagongera</t>
  </si>
  <si>
    <t>Tororo</t>
  </si>
  <si>
    <t>C70301</t>
  </si>
  <si>
    <t>C703_Link01</t>
  </si>
  <si>
    <t>Kitgum - Orom</t>
  </si>
  <si>
    <t>Kitgum</t>
  </si>
  <si>
    <t>C92702</t>
  </si>
  <si>
    <t>C927_Link02</t>
  </si>
  <si>
    <t>Korir - Malera - Kumi</t>
  </si>
  <si>
    <t>Mbale</t>
  </si>
  <si>
    <t>A005_LINK12</t>
  </si>
  <si>
    <t>A005_Link12</t>
  </si>
  <si>
    <t>Rwimi(bridge)-Hima-Mubuku</t>
  </si>
  <si>
    <t>Kasese</t>
  </si>
  <si>
    <t>Southern</t>
  </si>
  <si>
    <t>C44601</t>
  </si>
  <si>
    <t>C446_Link01</t>
  </si>
  <si>
    <t>Kyapatiko - Nyamirama</t>
  </si>
  <si>
    <t>Kabale</t>
  </si>
  <si>
    <t>C18002</t>
  </si>
  <si>
    <t>C180_Link01</t>
  </si>
  <si>
    <t>Nakawuka - Namutamala - Katende - Bujuko</t>
  </si>
  <si>
    <t>C44702</t>
  </si>
  <si>
    <t>C447_Link02</t>
  </si>
  <si>
    <t>Kabira - Rukungiri</t>
  </si>
  <si>
    <t>C16201</t>
  </si>
  <si>
    <t>C162_Link01</t>
  </si>
  <si>
    <t>Mpigi - Kanoni</t>
  </si>
  <si>
    <t>C74401</t>
  </si>
  <si>
    <t>C744_Link01</t>
  </si>
  <si>
    <t>Eruba - Vurra</t>
  </si>
  <si>
    <t>C84002</t>
  </si>
  <si>
    <t>C840_Link02</t>
  </si>
  <si>
    <t>Apokor - Kwapa - Tuba</t>
  </si>
  <si>
    <t>C16202</t>
  </si>
  <si>
    <t>C162_Link02</t>
  </si>
  <si>
    <t>Kanoni - Kabulasoke</t>
  </si>
  <si>
    <t>C30101</t>
  </si>
  <si>
    <t>C301_Link01</t>
  </si>
  <si>
    <t>Zirobwe -Kikyusa - Luweero</t>
  </si>
  <si>
    <t>A00516</t>
  </si>
  <si>
    <t>A005_Link07</t>
  </si>
  <si>
    <t>Lusalira - Nabingoola - Lubaale</t>
  </si>
  <si>
    <t>C80301</t>
  </si>
  <si>
    <t>C803_Link01</t>
  </si>
  <si>
    <t>Idudi - Busembatya</t>
  </si>
  <si>
    <t>C84401</t>
  </si>
  <si>
    <t>C844_Link01</t>
  </si>
  <si>
    <t>Rubongi - Mulanda</t>
  </si>
  <si>
    <t>A00514</t>
  </si>
  <si>
    <t>A005_Link05</t>
  </si>
  <si>
    <t>Kiganda-Kitenga</t>
  </si>
  <si>
    <t>B30702</t>
  </si>
  <si>
    <t>B307_Link02</t>
  </si>
  <si>
    <t>Buwenge - Kamuli</t>
  </si>
  <si>
    <t>C70502</t>
  </si>
  <si>
    <t>C705_Link02</t>
  </si>
  <si>
    <t>Paloga - Madiopei</t>
  </si>
  <si>
    <t>B30203</t>
  </si>
  <si>
    <t>B302_Link02</t>
  </si>
  <si>
    <t>Abim - Kilak</t>
  </si>
  <si>
    <t>C43401</t>
  </si>
  <si>
    <t>C434_Link01</t>
  </si>
  <si>
    <t>Ikumba - Nfasha - Ruhija - Mpungu - Hama</t>
  </si>
  <si>
    <t>A00612</t>
  </si>
  <si>
    <t>A006_Link06</t>
  </si>
  <si>
    <t>Nakasongola - Kafu</t>
  </si>
  <si>
    <t>C70001</t>
  </si>
  <si>
    <t>C700_Link01</t>
  </si>
  <si>
    <t>Atiak-Palabek</t>
  </si>
  <si>
    <t>C21601</t>
  </si>
  <si>
    <t>C216_Link01</t>
  </si>
  <si>
    <t>Lukaya - Miwuula</t>
  </si>
  <si>
    <t>C44503</t>
  </si>
  <si>
    <t>C445_Link02</t>
  </si>
  <si>
    <t>Bugangari - Campbell</t>
  </si>
  <si>
    <t>C356_LINK01</t>
  </si>
  <si>
    <t>C356_Link01</t>
  </si>
  <si>
    <t>Ibanda-Kanoni-Kazo</t>
  </si>
  <si>
    <t>Ibanda</t>
  </si>
  <si>
    <t>C44901</t>
  </si>
  <si>
    <t>C449_Link01</t>
  </si>
  <si>
    <t>Nyakabirizi-Burere-Nsiika</t>
  </si>
  <si>
    <t>C27402</t>
  </si>
  <si>
    <t>C274_Link02</t>
  </si>
  <si>
    <t>Madudu - Kiyuya</t>
  </si>
  <si>
    <t>C30401</t>
  </si>
  <si>
    <t>C304_Link01</t>
  </si>
  <si>
    <t>Kisule - Nakaseke - Kapeeka</t>
  </si>
  <si>
    <t>C86502</t>
  </si>
  <si>
    <t>C865_Link01</t>
  </si>
  <si>
    <t>Magodes-Busumbu</t>
  </si>
  <si>
    <t>B10302</t>
  </si>
  <si>
    <t>B103_Link02</t>
  </si>
  <si>
    <t>Villa Maria - Sembabule</t>
  </si>
  <si>
    <t>C67703</t>
  </si>
  <si>
    <t>C677_Link02</t>
  </si>
  <si>
    <t>Kalongo - Kitgum Matidi</t>
  </si>
  <si>
    <t>C677_LINK03</t>
  </si>
  <si>
    <t>C41503</t>
  </si>
  <si>
    <t>C415_Link02</t>
  </si>
  <si>
    <t>Bihanga - Bwizibwera</t>
  </si>
  <si>
    <t>C16001</t>
  </si>
  <si>
    <t>C160_Link01</t>
  </si>
  <si>
    <t>Mpigi-Kasanje-Buwaya</t>
  </si>
  <si>
    <t>C87801</t>
  </si>
  <si>
    <t>C878_Link01</t>
  </si>
  <si>
    <t>Nakaloke-Kabwangasi-Butebo</t>
  </si>
  <si>
    <t>C21101</t>
  </si>
  <si>
    <t>C211_Link01</t>
  </si>
  <si>
    <t>Nyendo - Lambu port Junction</t>
  </si>
  <si>
    <t>C83701</t>
  </si>
  <si>
    <t>C837_Link01</t>
  </si>
  <si>
    <t>Nagongera - Merikit - Kidoko</t>
  </si>
  <si>
    <t>C74302</t>
  </si>
  <si>
    <t>C743_Link02</t>
  </si>
  <si>
    <t>Inde-Ocoko</t>
  </si>
  <si>
    <t>C67502</t>
  </si>
  <si>
    <t>C675_Link02</t>
  </si>
  <si>
    <t>Pader - Kwonkwic (Palwo)</t>
  </si>
  <si>
    <t>C75802</t>
  </si>
  <si>
    <t>C758_Link02</t>
  </si>
  <si>
    <t>Midigo - Kerwa</t>
  </si>
  <si>
    <t>A00518</t>
  </si>
  <si>
    <t>A005_Link08</t>
  </si>
  <si>
    <t>Lubaale - Kyegegwa</t>
  </si>
  <si>
    <t>Fort Portal</t>
  </si>
  <si>
    <t>C54201</t>
  </si>
  <si>
    <t>C542_Link01</t>
  </si>
  <si>
    <t>Fortportal - Kijura - Kabende Bridge-Sogahe-Kyarusozi</t>
  </si>
  <si>
    <t>B10305</t>
  </si>
  <si>
    <t>B103_Link04</t>
  </si>
  <si>
    <t>Kasambya - Lusalira</t>
  </si>
  <si>
    <t>C16301</t>
  </si>
  <si>
    <t>C163_Link01</t>
  </si>
  <si>
    <t>MitalaMaria-Bulo-Kanoni</t>
  </si>
  <si>
    <t>B20301</t>
  </si>
  <si>
    <t>B203_Link01</t>
  </si>
  <si>
    <t>Mubende - Kiboyo - Kakumiro</t>
  </si>
  <si>
    <t>C27101</t>
  </si>
  <si>
    <t>C271_Link01</t>
  </si>
  <si>
    <t>Wakitundu - Bulera - Mutetema</t>
  </si>
  <si>
    <t>C75201</t>
  </si>
  <si>
    <t>C752_Link01</t>
  </si>
  <si>
    <t>Arua - Lia</t>
  </si>
  <si>
    <t>C19401</t>
  </si>
  <si>
    <t>C194_Link01</t>
  </si>
  <si>
    <t>Matugga - Kasangati</t>
  </si>
  <si>
    <t>C18401</t>
  </si>
  <si>
    <t>C184_Link01</t>
  </si>
  <si>
    <t>Kakiri-Masulita-Danze-Mawale</t>
  </si>
  <si>
    <t>C16604</t>
  </si>
  <si>
    <t>C166_Link04</t>
  </si>
  <si>
    <t>Matete - Mbirizi</t>
  </si>
  <si>
    <t>C51201</t>
  </si>
  <si>
    <t>C512_Link01</t>
  </si>
  <si>
    <t>Rugendabara - Kaswangali</t>
  </si>
  <si>
    <t>C27302</t>
  </si>
  <si>
    <t>C273_Link02</t>
  </si>
  <si>
    <t>Kasanda - Bukuya</t>
  </si>
  <si>
    <t>C16602</t>
  </si>
  <si>
    <t>C166_Link02</t>
  </si>
  <si>
    <t>R. Katonga - Sembabule</t>
  </si>
  <si>
    <t>C31301</t>
  </si>
  <si>
    <t>C313_Link01</t>
  </si>
  <si>
    <t>Katikamu - Kikyusa</t>
  </si>
  <si>
    <t>C26202</t>
  </si>
  <si>
    <t>C262_Link01</t>
  </si>
  <si>
    <t>Mityana-Misigi-Kanoni</t>
  </si>
  <si>
    <t>B20205</t>
  </si>
  <si>
    <t>B202_Link03</t>
  </si>
  <si>
    <t>Kagadi - Mabale - Kabwoya</t>
  </si>
  <si>
    <t>A00704</t>
  </si>
  <si>
    <t>A007_Link02</t>
  </si>
  <si>
    <t>Tororo - Magodes - Nabumali</t>
  </si>
  <si>
    <t>C22601</t>
  </si>
  <si>
    <t>C226_Link01</t>
  </si>
  <si>
    <t>Kyabakuza - Kyogya - Matete</t>
  </si>
  <si>
    <t>C55001</t>
  </si>
  <si>
    <t>C550_Link01</t>
  </si>
  <si>
    <t>Kakumiro-Kibale</t>
  </si>
  <si>
    <t>B25301</t>
  </si>
  <si>
    <t>B253_Link01</t>
  </si>
  <si>
    <t>Rwekunye - Masindi Port</t>
  </si>
  <si>
    <t>Masindi</t>
  </si>
  <si>
    <t>C26001</t>
  </si>
  <si>
    <t>C260_Link01</t>
  </si>
  <si>
    <t>Mityana - Busunju</t>
  </si>
  <si>
    <t>C56801</t>
  </si>
  <si>
    <t>C568_Link01</t>
  </si>
  <si>
    <t>Kihura - Bwizi</t>
  </si>
  <si>
    <t>A00711</t>
  </si>
  <si>
    <t>A007_Link04</t>
  </si>
  <si>
    <t>Mbale - Namunsi - Kumi</t>
  </si>
  <si>
    <t>B20303</t>
  </si>
  <si>
    <t>B203_Link02</t>
  </si>
  <si>
    <t>Kakumiro - Nkondo - Kijaguza - Bulamagi- Kabaale swamp</t>
  </si>
  <si>
    <t>A00121</t>
  </si>
  <si>
    <t>A001N2_Link01</t>
  </si>
  <si>
    <t>Jinja - Kakira Junction(Dual section)</t>
  </si>
  <si>
    <t>C31101</t>
  </si>
  <si>
    <t>C311_Link01</t>
  </si>
  <si>
    <t>Bombo - Ndejje - Kalasa</t>
  </si>
  <si>
    <t>C36001</t>
  </si>
  <si>
    <t>C360_Link01</t>
  </si>
  <si>
    <t>Ekitindo - Ngarama - Kasheshe</t>
  </si>
  <si>
    <t>Mbarara</t>
  </si>
  <si>
    <t>C36301</t>
  </si>
  <si>
    <t>C363_Link01</t>
  </si>
  <si>
    <t>Kabingo - Nyakitunda - Kabuyanda - Kyezi</t>
  </si>
  <si>
    <t>C36401</t>
  </si>
  <si>
    <t>C364_Link01</t>
  </si>
  <si>
    <t>Ruti - Mwizi - Kabuyanda - Kikagati</t>
  </si>
  <si>
    <t>C65302</t>
  </si>
  <si>
    <t>C653_Link02</t>
  </si>
  <si>
    <t>Ochero-Namasale</t>
  </si>
  <si>
    <t>C22702</t>
  </si>
  <si>
    <t>C227_Link01</t>
  </si>
  <si>
    <t>Lyantonde - Kaliro - Nabitanga - Ntusi</t>
  </si>
  <si>
    <t>A00122</t>
  </si>
  <si>
    <t>A001_Link06</t>
  </si>
  <si>
    <t>Kakira junction - Iganga</t>
  </si>
  <si>
    <t>C27106</t>
  </si>
  <si>
    <t>C271_Link04</t>
  </si>
  <si>
    <t>Kitumbi Bridge - Bukwiri</t>
  </si>
  <si>
    <t>C31201</t>
  </si>
  <si>
    <t>C312_Link01</t>
  </si>
  <si>
    <t>Kalule - Bowa - Nakaseke</t>
  </si>
  <si>
    <t>B10202</t>
  </si>
  <si>
    <t>B102_Link01</t>
  </si>
  <si>
    <t>Njeru - Bukoloto</t>
  </si>
  <si>
    <t>C42501</t>
  </si>
  <si>
    <t>C425_Link01</t>
  </si>
  <si>
    <t>Katuna - Rubaya - Muko</t>
  </si>
  <si>
    <t>C16601</t>
  </si>
  <si>
    <t>C166_Link01</t>
  </si>
  <si>
    <t>Madu-Kisozi-R.Katonga</t>
  </si>
  <si>
    <t>C22602</t>
  </si>
  <si>
    <t>C226_Link02</t>
  </si>
  <si>
    <t>Matete - Kakinga - Kaliro</t>
  </si>
  <si>
    <t>C57801</t>
  </si>
  <si>
    <t>C578_Link01</t>
  </si>
  <si>
    <t>Accesses to Ibuga</t>
  </si>
  <si>
    <t>C86201</t>
  </si>
  <si>
    <t>C862_Link01</t>
  </si>
  <si>
    <t>Namagumba - Budadiri</t>
  </si>
  <si>
    <t>C45201</t>
  </si>
  <si>
    <t>C452_Link01</t>
  </si>
  <si>
    <t>Rukungiri - Station Boundary</t>
  </si>
  <si>
    <t>C27401</t>
  </si>
  <si>
    <t>C274_Link01</t>
  </si>
  <si>
    <t>Kasanda - Madudu</t>
  </si>
  <si>
    <t>B30001</t>
  </si>
  <si>
    <t>B300_Link01</t>
  </si>
  <si>
    <t>Namunsi - Sironko</t>
  </si>
  <si>
    <t>C419_LINK02</t>
  </si>
  <si>
    <t>C419_Link02</t>
  </si>
  <si>
    <t>Kikagati-Nsongezi</t>
  </si>
  <si>
    <t>C31001</t>
  </si>
  <si>
    <t>C310_Link01</t>
  </si>
  <si>
    <t>Kamuli - Namasagali</t>
  </si>
  <si>
    <t>C54101</t>
  </si>
  <si>
    <t>C541_Link01</t>
  </si>
  <si>
    <t>Karugutu - Ntoroko</t>
  </si>
  <si>
    <t>C22301</t>
  </si>
  <si>
    <t>C223_Link01</t>
  </si>
  <si>
    <t>Taba -Kyeesiga-Ddimo Landing site</t>
  </si>
  <si>
    <t>C35602</t>
  </si>
  <si>
    <t>C356_Link02</t>
  </si>
  <si>
    <t>Kazo-Buremba</t>
  </si>
  <si>
    <t>C19501</t>
  </si>
  <si>
    <t>C195_Link01</t>
  </si>
  <si>
    <t>Nakawuka - Kasanje</t>
  </si>
  <si>
    <t>C312_LINK02</t>
  </si>
  <si>
    <t>C312_Link02</t>
  </si>
  <si>
    <t>Nakaseke - Kiwoko</t>
  </si>
  <si>
    <t>B10304</t>
  </si>
  <si>
    <t>B103_Link03</t>
  </si>
  <si>
    <t>Nkonge - Kibula - Magege - Kasambya</t>
  </si>
  <si>
    <t>B20101</t>
  </si>
  <si>
    <t>B201_Link01</t>
  </si>
  <si>
    <t>Kigumba - Masindi</t>
  </si>
  <si>
    <t>C66502</t>
  </si>
  <si>
    <t>C665_Link02</t>
  </si>
  <si>
    <t>Anyeke-Minakulu</t>
  </si>
  <si>
    <t>C79703</t>
  </si>
  <si>
    <t>C797_Link02</t>
  </si>
  <si>
    <t>Kakira - Namasiga</t>
  </si>
  <si>
    <t>C79203</t>
  </si>
  <si>
    <t>C792_Link02</t>
  </si>
  <si>
    <t>Namagera - Lubanyi</t>
  </si>
  <si>
    <t>A00222</t>
  </si>
  <si>
    <t>A002_Link09</t>
  </si>
  <si>
    <t>Ntungamo - Rubaale</t>
  </si>
  <si>
    <t>A002_LINK09</t>
  </si>
  <si>
    <t>B15203</t>
  </si>
  <si>
    <t>B152_Link03</t>
  </si>
  <si>
    <t>Ishaka - Buhinda - Rugazi</t>
  </si>
  <si>
    <t>C162_LINK03</t>
  </si>
  <si>
    <t>C162_Link03</t>
  </si>
  <si>
    <t>Kabulasoke - Madu</t>
  </si>
  <si>
    <t>C17501</t>
  </si>
  <si>
    <t>C175_Link01</t>
  </si>
  <si>
    <t>Abayita Ababiri - Kasenyi</t>
  </si>
  <si>
    <t>B15005</t>
  </si>
  <si>
    <t>B150_Link03</t>
  </si>
  <si>
    <t>Ibanda - Muziza - Kamwenge</t>
  </si>
  <si>
    <t>C22501</t>
  </si>
  <si>
    <t>C225_Link01</t>
  </si>
  <si>
    <t>Kyabakuza - Kiwangala - Ndagwe - Namabal</t>
  </si>
  <si>
    <t>C22901</t>
  </si>
  <si>
    <t>C229_Link01</t>
  </si>
  <si>
    <t>Luku Pier - Kalangala HQ</t>
  </si>
  <si>
    <t>C27102</t>
  </si>
  <si>
    <t>C271_Link02</t>
  </si>
  <si>
    <t>Mutetema-Kyamusisi - Bukuya</t>
  </si>
  <si>
    <t>C22103</t>
  </si>
  <si>
    <t>C221_Link02</t>
  </si>
  <si>
    <t>Lusakalwamese - Bikira</t>
  </si>
  <si>
    <t>C56701</t>
  </si>
  <si>
    <t>C567_Link01</t>
  </si>
  <si>
    <t>Kakumiro - Nkooko</t>
  </si>
  <si>
    <t>C59101</t>
  </si>
  <si>
    <t>C591_Link01</t>
  </si>
  <si>
    <t>Kabwoya - Kituti</t>
  </si>
  <si>
    <t>C55601</t>
  </si>
  <si>
    <t>C556_Link01</t>
  </si>
  <si>
    <t>Bukuku - Rubona</t>
  </si>
  <si>
    <t>C41001</t>
  </si>
  <si>
    <t>C410_Link01</t>
  </si>
  <si>
    <t>Kagamba-Kebisoni</t>
  </si>
  <si>
    <t>C42901</t>
  </si>
  <si>
    <t>C429_Link01</t>
  </si>
  <si>
    <t>Butobere - Muyumbu - Rwamucucu</t>
  </si>
  <si>
    <t>C43602</t>
  </si>
  <si>
    <t>C436_Link02</t>
  </si>
  <si>
    <t>Nyabwishenya - Nteko</t>
  </si>
  <si>
    <t>C36702</t>
  </si>
  <si>
    <t>C367_Link01</t>
  </si>
  <si>
    <t>Biharwe - Rushozi - Ruhengere - Kikatsi</t>
  </si>
  <si>
    <t>C80901</t>
  </si>
  <si>
    <t>C809_Link01</t>
  </si>
  <si>
    <t>Kaliro - Namwiwa</t>
  </si>
  <si>
    <t>C74501</t>
  </si>
  <si>
    <t>C745_Link01</t>
  </si>
  <si>
    <t>Nebbi - Goli</t>
  </si>
  <si>
    <t>C27701</t>
  </si>
  <si>
    <t>C277_Link01</t>
  </si>
  <si>
    <t>Kitenga -Ikula-Kanyogoga</t>
  </si>
  <si>
    <t>C59201</t>
  </si>
  <si>
    <t>C592_Link01</t>
  </si>
  <si>
    <t>Parajwoki-Buseruka</t>
  </si>
  <si>
    <t>C37304</t>
  </si>
  <si>
    <t>C373_Link02</t>
  </si>
  <si>
    <t>Kabujogera - Mahyoro Junction</t>
  </si>
  <si>
    <t>C78203</t>
  </si>
  <si>
    <t>C782_Link02</t>
  </si>
  <si>
    <t>Nankoma-Namayingo-Lumino</t>
  </si>
  <si>
    <t>C18801</t>
  </si>
  <si>
    <t>C188_Link01</t>
  </si>
  <si>
    <t>Kyabadaza - Kibibi</t>
  </si>
  <si>
    <t>C19402</t>
  </si>
  <si>
    <t>C194_Link02</t>
  </si>
  <si>
    <t>Kasangati - Kyaliwajala</t>
  </si>
  <si>
    <t>C23001</t>
  </si>
  <si>
    <t>C230_Link01</t>
  </si>
  <si>
    <t>Kalangala HQ - Mulabana</t>
  </si>
  <si>
    <t>C80001</t>
  </si>
  <si>
    <t>C800_Link01</t>
  </si>
  <si>
    <t>Bugiri - Nankoma</t>
  </si>
  <si>
    <t>C41401</t>
  </si>
  <si>
    <t>C414_Link01</t>
  </si>
  <si>
    <t>Katunguru - Ishasha</t>
  </si>
  <si>
    <t>C74701</t>
  </si>
  <si>
    <t>C747_Link01</t>
  </si>
  <si>
    <t>Panyimur - Paidha Via Erusi-Goli</t>
  </si>
  <si>
    <t>C35001</t>
  </si>
  <si>
    <t>C350_Link01</t>
  </si>
  <si>
    <t>Katete-Isingiro</t>
  </si>
  <si>
    <t>C18603</t>
  </si>
  <si>
    <t>C186_Link01</t>
  </si>
  <si>
    <t>Namyumba-Kakonda-Wabikokoma-Semuto</t>
  </si>
  <si>
    <t>C15404</t>
  </si>
  <si>
    <t>C154_Link02</t>
  </si>
  <si>
    <t>Kapeka-Butalangwa</t>
  </si>
  <si>
    <t>A00617</t>
  </si>
  <si>
    <t>A006_Link08</t>
  </si>
  <si>
    <t>Kigumba - Karuma</t>
  </si>
  <si>
    <t>C41501</t>
  </si>
  <si>
    <t>C415_Link01</t>
  </si>
  <si>
    <t>Kabwohe - Nyakambu - Bihanga</t>
  </si>
  <si>
    <t>C16204</t>
  </si>
  <si>
    <t>C162_Link04</t>
  </si>
  <si>
    <t>Madu - Kasambya</t>
  </si>
  <si>
    <t>C19001</t>
  </si>
  <si>
    <t>C190_Link01</t>
  </si>
  <si>
    <t>Kayabwe - Nkozi - Kinyika - Ngando - Wab</t>
  </si>
  <si>
    <t>C43002</t>
  </si>
  <si>
    <t>C430_Link01</t>
  </si>
  <si>
    <t>Rwashamaire - Rwahi</t>
  </si>
  <si>
    <t>C21401</t>
  </si>
  <si>
    <t>C214_Link01</t>
  </si>
  <si>
    <t>Lyantonde - Lumbugu</t>
  </si>
  <si>
    <t>C54901</t>
  </si>
  <si>
    <t>C549_Link01</t>
  </si>
  <si>
    <t>Kakabara-Bujuzo-Katooke</t>
  </si>
  <si>
    <t>A00906</t>
  </si>
  <si>
    <t>A009_Link03</t>
  </si>
  <si>
    <t>Busunju - Kiboga - Lwamata</t>
  </si>
  <si>
    <t>C62301</t>
  </si>
  <si>
    <t>C623_Link01</t>
  </si>
  <si>
    <t>Bukumi-Bulisa</t>
  </si>
  <si>
    <t>C32501</t>
  </si>
  <si>
    <t>C325_Link01</t>
  </si>
  <si>
    <t>Kikyusa- Bamugolode - Kazwama - Nakasongola</t>
  </si>
  <si>
    <t>C62201</t>
  </si>
  <si>
    <t>C622_Link01</t>
  </si>
  <si>
    <t>Masindi - Biiso</t>
  </si>
  <si>
    <t>C18003</t>
  </si>
  <si>
    <t>B20203</t>
  </si>
  <si>
    <t>B202_Link02</t>
  </si>
  <si>
    <t>R. Muzizi - Muhooro - Kagadi</t>
  </si>
  <si>
    <t>C27201</t>
  </si>
  <si>
    <t>C272_Link01</t>
  </si>
  <si>
    <t>Hoima Road/Kituuma-Kiryoka-Mutetema</t>
  </si>
  <si>
    <t>B30501</t>
  </si>
  <si>
    <t>B305_Link01</t>
  </si>
  <si>
    <t>Tirinyi - Pallisa</t>
  </si>
  <si>
    <t>C78401</t>
  </si>
  <si>
    <t>C784_Link01</t>
  </si>
  <si>
    <t>Iganga-Kaliro</t>
  </si>
  <si>
    <t>C31701</t>
  </si>
  <si>
    <t>C317_Link01</t>
  </si>
  <si>
    <t>Katuugo-Kinyogogga</t>
  </si>
  <si>
    <t>C30701</t>
  </si>
  <si>
    <t>C307_Link01</t>
  </si>
  <si>
    <t>Butalangwa - Ngoma - Bulyamusenyu</t>
  </si>
  <si>
    <t>C19301</t>
  </si>
  <si>
    <t>C193_Link01</t>
  </si>
  <si>
    <t>Wakiso-Kassengejja- Matugga</t>
  </si>
  <si>
    <t>C59001</t>
  </si>
  <si>
    <t>C590_Link01</t>
  </si>
  <si>
    <t>Hoima (Parajwoki) -Biso</t>
  </si>
  <si>
    <t>B15202</t>
  </si>
  <si>
    <t>B152_Link02</t>
  </si>
  <si>
    <t>Kagamba - Ishaka</t>
  </si>
  <si>
    <t>C51901</t>
  </si>
  <si>
    <t>C519_Link01</t>
  </si>
  <si>
    <t>Nkenda - Bugoye</t>
  </si>
  <si>
    <t>C17803</t>
  </si>
  <si>
    <t>C178_Link01</t>
  </si>
  <si>
    <t>Natete - Nakawuka - Kisubi</t>
  </si>
  <si>
    <t>B30601</t>
  </si>
  <si>
    <t>B306_Link01</t>
  </si>
  <si>
    <t>Tororo(Malaba junction) - Busia</t>
  </si>
  <si>
    <t>C41601</t>
  </si>
  <si>
    <t>C416_Link01</t>
  </si>
  <si>
    <t>Bihanga - Nsiika</t>
  </si>
  <si>
    <t>C41701</t>
  </si>
  <si>
    <t>C417_Link01</t>
  </si>
  <si>
    <t>Ntungamo-Kakukuru</t>
  </si>
  <si>
    <t>B101_LINK01</t>
  </si>
  <si>
    <t>B101_Link01</t>
  </si>
  <si>
    <t>Mukono - Kalagi</t>
  </si>
  <si>
    <t>C57301</t>
  </si>
  <si>
    <t>C573_Link01</t>
  </si>
  <si>
    <t>Kamwenge Railway Access</t>
  </si>
  <si>
    <t>C36501</t>
  </si>
  <si>
    <t>C365_Link01</t>
  </si>
  <si>
    <t>Nyakiraguju - Ruzinga (Bugamba) Chitwe</t>
  </si>
  <si>
    <t>C43102</t>
  </si>
  <si>
    <t>C431_Link02</t>
  </si>
  <si>
    <t>Kyempene - Rubirizi</t>
  </si>
  <si>
    <t>C32601</t>
  </si>
  <si>
    <t>C326_Link01</t>
  </si>
  <si>
    <t>Nakasongola - Lwampanga - Zengebe Access</t>
  </si>
  <si>
    <t>C21801</t>
  </si>
  <si>
    <t>C218_Link01</t>
  </si>
  <si>
    <t>Masaka - Kidda - Buwunga - Nkuke - Kyana</t>
  </si>
  <si>
    <t>C56602</t>
  </si>
  <si>
    <t>C566_Link02</t>
  </si>
  <si>
    <t>Bugwara-Kikwaya</t>
  </si>
  <si>
    <t>C83001</t>
  </si>
  <si>
    <t>C830_Link01</t>
  </si>
  <si>
    <t>Busia - Majanji</t>
  </si>
  <si>
    <t>C36803</t>
  </si>
  <si>
    <t>C368_Link01</t>
  </si>
  <si>
    <t>Biharwe - Bwizibwera</t>
  </si>
  <si>
    <t>C37003</t>
  </si>
  <si>
    <t>C370_Link02</t>
  </si>
  <si>
    <t>Byanamira - Kashwa</t>
  </si>
  <si>
    <t>C80601</t>
  </si>
  <si>
    <t>C806_Link01</t>
  </si>
  <si>
    <t xml:space="preserve">Namatumba - Nawampandu </t>
  </si>
  <si>
    <t>C43301</t>
  </si>
  <si>
    <t>C433_Link01</t>
  </si>
  <si>
    <t>Ikumba - Kanungu</t>
  </si>
  <si>
    <t>C18201</t>
  </si>
  <si>
    <t>C182_Link01</t>
  </si>
  <si>
    <t>Buloba - Wakiso</t>
  </si>
  <si>
    <t>C18701</t>
  </si>
  <si>
    <t>C187_Link01</t>
  </si>
  <si>
    <t>Namayumba - Kitalya Prison - Kamuli</t>
  </si>
  <si>
    <t>C43201</t>
  </si>
  <si>
    <t>C432_Link01</t>
  </si>
  <si>
    <t>Kanungu - Rugyeyo - Kabaranga</t>
  </si>
  <si>
    <t>C57101</t>
  </si>
  <si>
    <t>C571_Link01</t>
  </si>
  <si>
    <t>Kamwenge - Kabambiro - Bigusyo - Bihanga</t>
  </si>
  <si>
    <t>B101_Link02</t>
  </si>
  <si>
    <t>Kalagi - Bukoloto - Kayunga</t>
  </si>
  <si>
    <t>C35901</t>
  </si>
  <si>
    <t>C359_Link01</t>
  </si>
  <si>
    <t>Rugaaga-Rushasha-Rwentaha</t>
  </si>
  <si>
    <t>C60601</t>
  </si>
  <si>
    <t>C606_Link01</t>
  </si>
  <si>
    <t>Rwera-Kaseeta</t>
  </si>
  <si>
    <t>C35301</t>
  </si>
  <si>
    <t>C353_Link01</t>
  </si>
  <si>
    <t>Nsongezi-Kyaka</t>
  </si>
  <si>
    <t>B30801</t>
  </si>
  <si>
    <t>B308_Link01</t>
  </si>
  <si>
    <t>Namutere - Busia</t>
  </si>
  <si>
    <t>C81701</t>
  </si>
  <si>
    <t>C817_Link01</t>
  </si>
  <si>
    <t>Nankoma - Kaluba</t>
  </si>
  <si>
    <t>C59401</t>
  </si>
  <si>
    <t>C594_Link01</t>
  </si>
  <si>
    <t>Bugambe-Kidoma</t>
  </si>
  <si>
    <t>C57201</t>
  </si>
  <si>
    <t>C572_Link01</t>
  </si>
  <si>
    <t>Rwenjaza - Kabujogera</t>
  </si>
  <si>
    <t>C63501</t>
  </si>
  <si>
    <t>C635_Link01</t>
  </si>
  <si>
    <t>Katulikile - Mutunda - Atura / Nanda</t>
  </si>
  <si>
    <t>C35501</t>
  </si>
  <si>
    <t>C355_Link01</t>
  </si>
  <si>
    <t>Nyakahita-Rushere</t>
  </si>
  <si>
    <t>C62501</t>
  </si>
  <si>
    <t>C625_Link01</t>
  </si>
  <si>
    <t>Kisanja-Park junction</t>
  </si>
  <si>
    <t>C62101</t>
  </si>
  <si>
    <t>C621_Link01</t>
  </si>
  <si>
    <t>Rwekunye - Masindi</t>
  </si>
  <si>
    <t>C548_LINK01</t>
  </si>
  <si>
    <t>C548_Link01</t>
  </si>
  <si>
    <t>Rugombe-Kyarusozi-Katooke</t>
  </si>
  <si>
    <t>C81101</t>
  </si>
  <si>
    <t>C811_Link01</t>
  </si>
  <si>
    <t>Kamuli - Nabirumba</t>
  </si>
  <si>
    <t>C63901</t>
  </si>
  <si>
    <t>C639_Link01</t>
  </si>
  <si>
    <t>Bukommero-Dwaniro-Kyankwanzi</t>
  </si>
  <si>
    <t>C62701</t>
  </si>
  <si>
    <t>C627_Link01</t>
  </si>
  <si>
    <t>Masoode-Nkooko</t>
  </si>
  <si>
    <t>A005_LINK09</t>
  </si>
  <si>
    <t>A005_Link09</t>
  </si>
  <si>
    <t>Kyegegwa - Kakabala - Kyenjojo</t>
  </si>
  <si>
    <t>A00522</t>
  </si>
  <si>
    <t>A005_Link10</t>
  </si>
  <si>
    <t>Kyenjojo - Rugombe - Fortportal</t>
  </si>
  <si>
    <t>Complete Annual Observed Trends</t>
  </si>
  <si>
    <t>All observed years supplied by the governed traffic JSON. No Top-N or selected subset is applied.</t>
  </si>
  <si>
    <t>year</t>
  </si>
  <si>
    <t>label</t>
  </si>
  <si>
    <t>sourceWorkbook</t>
  </si>
  <si>
    <t>rawSheet</t>
  </si>
  <si>
    <t>observedStations</t>
  </si>
  <si>
    <t>mappedStations</t>
  </si>
  <si>
    <t>averageStationADT</t>
  </si>
  <si>
    <t>medianStationADT</t>
  </si>
  <si>
    <t>peakStationADT</t>
  </si>
  <si>
    <t>coverageRegions</t>
  </si>
  <si>
    <t>surveyDateStart</t>
  </si>
  <si>
    <t>surveyDateEnd</t>
  </si>
  <si>
    <t>2021 observed station AADT</t>
  </si>
  <si>
    <t>TIS 2021_AADT analysis.xlsx</t>
  </si>
  <si>
    <t>TIS 2021</t>
  </si>
  <si>
    <t>2021-03-09</t>
  </si>
  <si>
    <t>2021-11-08</t>
  </si>
  <si>
    <t>Observed</t>
  </si>
  <si>
    <t>2022 observed station AADT</t>
  </si>
  <si>
    <t>TIS 2022_AADT analysis.xlsx</t>
  </si>
  <si>
    <t>TIS 2022</t>
  </si>
  <si>
    <t>2022-01-29</t>
  </si>
  <si>
    <t>2022-06-24</t>
  </si>
  <si>
    <t>2023 observed station AADT</t>
  </si>
  <si>
    <t>TIS 2023_AADT analysis.xlsx</t>
  </si>
  <si>
    <t>TIS 2023</t>
  </si>
  <si>
    <t>2023-01-06</t>
  </si>
  <si>
    <t>2023-09-05</t>
  </si>
  <si>
    <t>2024 observed station AADT</t>
  </si>
  <si>
    <t>TIS 2024_AADT analysis.xlsx</t>
  </si>
  <si>
    <t>TIS 2024</t>
  </si>
  <si>
    <t>2024-02-08</t>
  </si>
  <si>
    <t>2024-07-21</t>
  </si>
  <si>
    <t>Complete Monthly Measured Trends</t>
  </si>
  <si>
    <t>Every governed monthly record is included. Financial Year is derived from the source month using Uganda's July to June reporting year.</t>
  </si>
  <si>
    <t>Month</t>
  </si>
  <si>
    <t>Observed_Roads</t>
  </si>
  <si>
    <t>Road_Days</t>
  </si>
  <si>
    <t>Survey_Days</t>
  </si>
  <si>
    <t>Total_Volume</t>
  </si>
  <si>
    <t>Average_Measured_Vehicles_per_Observed_Road</t>
  </si>
  <si>
    <t>2021-03</t>
  </si>
  <si>
    <t>2020/21</t>
  </si>
  <si>
    <t>Measured survey aggregation</t>
  </si>
  <si>
    <t>2021-04</t>
  </si>
  <si>
    <t>2021-05</t>
  </si>
  <si>
    <t>2021-06</t>
  </si>
  <si>
    <t>2021-10</t>
  </si>
  <si>
    <t>2021/22</t>
  </si>
  <si>
    <t>2021-11</t>
  </si>
  <si>
    <t>2022-01</t>
  </si>
  <si>
    <t>2022-02</t>
  </si>
  <si>
    <t>2022-03</t>
  </si>
  <si>
    <t>2022-04</t>
  </si>
  <si>
    <t>2022-05</t>
  </si>
  <si>
    <t>2022-06</t>
  </si>
  <si>
    <t>2023-01</t>
  </si>
  <si>
    <t>2022/23</t>
  </si>
  <si>
    <t>2023-03</t>
  </si>
  <si>
    <t>2023-04</t>
  </si>
  <si>
    <t>2023-05</t>
  </si>
  <si>
    <t>2023-06</t>
  </si>
  <si>
    <t>2023-07</t>
  </si>
  <si>
    <t>2023/24</t>
  </si>
  <si>
    <t>2023-09</t>
  </si>
  <si>
    <t>2024-02</t>
  </si>
  <si>
    <t>2024-04</t>
  </si>
  <si>
    <t>2024-05</t>
  </si>
  <si>
    <t>2024-06</t>
  </si>
  <si>
    <t>2024-07</t>
  </si>
  <si>
    <t>2024/25</t>
  </si>
  <si>
    <t>Complete 2021 Vehicle Class Breakdown</t>
  </si>
  <si>
    <t>All governed vehicle classes are shown for the full 2021 observed station population.</t>
  </si>
  <si>
    <t>Class</t>
  </si>
  <si>
    <t>Total</t>
  </si>
  <si>
    <t>Share</t>
  </si>
  <si>
    <t>Observed station AADT aggregation</t>
  </si>
  <si>
    <t>Bicycles</t>
  </si>
  <si>
    <t>Carts</t>
  </si>
  <si>
    <t>Complete 2021 Region Breakdown</t>
  </si>
  <si>
    <t>All governed regions are shown for the full 2021 observed station population.</t>
  </si>
  <si>
    <t>Stations</t>
  </si>
  <si>
    <t>Mean_ADT</t>
  </si>
  <si>
    <t>Peak_ADT</t>
  </si>
  <si>
    <t>Complete 2021 Surface Type Breakdown</t>
  </si>
  <si>
    <t>Surface Type uses only Paved and Unpaved, with the full governed station population included.</t>
  </si>
  <si>
    <t>Median_ADT</t>
  </si>
  <si>
    <t>Reported ATC Performance</t>
  </si>
  <si>
    <t>These values are retained but explicitly labelled because their source workbook is not embedded in the governed dataset.</t>
  </si>
  <si>
    <t>Station_Group</t>
  </si>
  <si>
    <t>Uptime_Percentage</t>
  </si>
  <si>
    <t>Reliability_Score</t>
  </si>
  <si>
    <t>Central 1</t>
  </si>
  <si>
    <t>Reported, source workbook not embedded</t>
  </si>
  <si>
    <t>Central 2</t>
  </si>
  <si>
    <t>Overall</t>
  </si>
  <si>
    <t>Required Dimension Coverage</t>
  </si>
  <si>
    <t>Unavailable dimensions are disclosed and are not fabricated. Available dimensions use the complete governed population.</t>
  </si>
  <si>
    <t>Required Dimension</t>
  </si>
  <si>
    <t>Coverage Status</t>
  </si>
  <si>
    <t>Governance Note</t>
  </si>
  <si>
    <t>Surface Type</t>
  </si>
  <si>
    <t>Available</t>
  </si>
  <si>
    <t>Normalised to Paved or Unpaved; complete population shown</t>
  </si>
  <si>
    <t>Functional Class</t>
  </si>
  <si>
    <t>Unavailable</t>
  </si>
  <si>
    <t>Field is absent from the governed station dataset and is not fabricated</t>
  </si>
  <si>
    <t>Road Type</t>
  </si>
  <si>
    <t>Sub-Region</t>
  </si>
  <si>
    <t>Financial Year</t>
  </si>
  <si>
    <t>Available for monthly trends</t>
  </si>
  <si>
    <t>Derived from each source month using July to June; unavailable for annual station rows without observation dates</t>
  </si>
  <si>
    <t>Complete population shown</t>
  </si>
  <si>
    <t>Complete population shown in the station table</t>
  </si>
  <si>
    <t>Annual trends</t>
  </si>
  <si>
    <t>All observed years supplied by the governed JSON are shown</t>
  </si>
  <si>
    <t>Monthly trends</t>
  </si>
  <si>
    <t>Every supplied monthly record is shown</t>
  </si>
  <si>
    <t>Traffic Growth Projection Tool</t>
  </si>
  <si>
    <t>Projected values are modelled from the user-controlled base ADT and annual growth rate. They are not observed traffic counts.</t>
  </si>
  <si>
    <t>Parameter</t>
  </si>
  <si>
    <t>Value</t>
  </si>
  <si>
    <t>Unit</t>
  </si>
  <si>
    <t>Evidence Status and Method</t>
  </si>
  <si>
    <t>Base year</t>
  </si>
  <si>
    <t>Model input</t>
  </si>
  <si>
    <t>Base ADT</t>
  </si>
  <si>
    <t>vehicles/day</t>
  </si>
  <si>
    <t>Model input based on Kireka station AADT</t>
  </si>
  <si>
    <t>Annual growth rate</t>
  </si>
  <si>
    <t>ratio</t>
  </si>
  <si>
    <t>Model input, compound annual growth</t>
  </si>
  <si>
    <t>Target Year</t>
  </si>
  <si>
    <t>Projected ADT</t>
  </si>
  <si>
    <t>Evidence Status</t>
  </si>
  <si>
    <t>Method</t>
  </si>
  <si>
    <t>Projected</t>
  </si>
  <si>
    <t>Compound annual growth from stated inputs</t>
  </si>
  <si>
    <t>Governed Sources and Method</t>
  </si>
  <si>
    <t>The workbook is rebuilt from the named repository sources through traffic_dashboard_data.json. Modelled and projected outputs are explicitly labelled.</t>
  </si>
  <si>
    <t>Governed Source</t>
  </si>
  <si>
    <t>Use</t>
  </si>
  <si>
    <t>Observed station and trend evidence</t>
  </si>
  <si>
    <t>Traffic Count Stations_Combined.xlsx</t>
  </si>
  <si>
    <t>Traffic_estimate_2025.xlsx</t>
  </si>
  <si>
    <t>TIS 2025_AADT analysis.xlsx</t>
  </si>
  <si>
    <t>Method notes</t>
  </si>
  <si>
    <t>Observed station analytics are rebuilt from the AADT and raw TIS sheets in the 2021 to 2024 traffic workbooks.</t>
  </si>
  <si>
    <t>The workbook named TIS 2025_AADT analysis.xlsx repeats the same station AADT values found in TIS 2024_AADT analysis.xlsx, so 2024 is treated as the latest observed station year.</t>
  </si>
  <si>
    <t>The 2025 network section is rebuilt from Traffic_estimate_2025.xlsx and uses annual vehicle-km instead of summing link traffic across the network, which would double-count trips.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</si>
</sst>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6"/>
      <color rgb="FFFFFFFF"/>
      <name val="Calibri"/>
      <family val="2"/>
      <scheme val="minor"/>
    </font>
    <font>
      <sz val="11"/>
      <color rgb="FF7F6000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2F75B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3" fillId="4" borderId="1" xfId="0" applyFont="1" applyFill="1" applyBorder="1" applyAlignment="1">
      <alignment horizontal="center" vertical="center" wrapText="1"/>
    </xf>
    <xf numFmtId="4" fontId="0" fillId="0" borderId="0" xfId="0" applyNumberFormat="1"/>
    <xf numFmtId="0" fontId="1" fillId="2" borderId="0" xfId="0" applyFont="1" applyFill="1" applyAlignment="1">
      <alignment vertical="center"/>
    </xf>
    <xf numFmtId="0" fontId="2" fillId="3" borderId="1" xfId="0" applyFont="1" applyFill="1" applyBorder="1" applyAlignment="1">
      <alignment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10">
    <dxf>
      <font>
        <color rgb="FF783F04"/>
      </font>
      <fill>
        <patternFill>
          <bgColor rgb="FFFCE5CD"/>
        </patternFill>
      </fill>
    </dxf>
    <dxf>
      <font>
        <color rgb="FF9C0006"/>
      </font>
      <fill>
        <patternFill>
          <bgColor rgb="FFF4CCCC"/>
        </patternFill>
      </fill>
    </dxf>
    <dxf>
      <font>
        <color rgb="FF783F04"/>
      </font>
      <fill>
        <patternFill>
          <bgColor rgb="FFFCE5CD"/>
        </patternFill>
      </fill>
    </dxf>
    <dxf>
      <font>
        <color rgb="FF274E13"/>
      </font>
      <fill>
        <patternFill>
          <bgColor rgb="FFD9EAD3"/>
        </patternFill>
      </fill>
    </dxf>
    <dxf>
      <font>
        <color rgb="FF783F04"/>
      </font>
      <fill>
        <patternFill>
          <bgColor rgb="FFFCE5CD"/>
        </patternFill>
      </fill>
    </dxf>
    <dxf>
      <font>
        <color rgb="FF274E13"/>
      </font>
      <fill>
        <patternFill>
          <bgColor rgb="FFD9EAD3"/>
        </patternFill>
      </fill>
    </dxf>
    <dxf>
      <font>
        <color rgb="FF274E13"/>
      </font>
      <fill>
        <patternFill>
          <bgColor rgb="FFD9EAD3"/>
        </patternFill>
      </fill>
    </dxf>
    <dxf>
      <font>
        <color rgb="FF274E13"/>
      </font>
      <fill>
        <patternFill>
          <bgColor rgb="FFD9EAD3"/>
        </patternFill>
      </fill>
    </dxf>
    <dxf>
      <font>
        <color rgb="FF783F04"/>
      </font>
      <fill>
        <patternFill>
          <bgColor rgb="FFFCE5CD"/>
        </patternFill>
      </fill>
    </dxf>
    <dxf>
      <font>
        <color rgb="FF274E13"/>
      </font>
      <fill>
        <patternFill>
          <bgColor rgb="FFD9EAD3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Figure 1: Annual Average Station ADT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Average Station ADT</c:v>
          </c:tx>
          <c:spPr>
            <a:ln w="28575">
              <a:solidFill>
                <a:srgbClr val="2F75B5"/>
              </a:solidFill>
            </a:ln>
          </c:spPr>
          <c:marker>
            <c:symbol val="none"/>
          </c:marker>
          <c:cat>
            <c:numRef>
              <c:f>Annual_Trends!$A$4:$A$7</c:f>
              <c:numCache>
                <c:formatCode>General</c:formatCode>
                <c:ptCount val="4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</c:numCache>
            </c:numRef>
          </c:cat>
          <c:val>
            <c:numRef>
              <c:f>Annual_Trends!$G$4:$G$7</c:f>
              <c:numCache>
                <c:formatCode>General</c:formatCode>
                <c:ptCount val="4"/>
                <c:pt idx="0">
                  <c:v>4657.01</c:v>
                </c:pt>
                <c:pt idx="1">
                  <c:v>2546.86</c:v>
                </c:pt>
                <c:pt idx="2">
                  <c:v>1992.1</c:v>
                </c:pt>
                <c:pt idx="3">
                  <c:v>4358.66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01E-48E1-A6F8-FDA396444F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010001"/>
        <c:axId val="50010002"/>
      </c:lineChart>
      <c:catAx>
        <c:axId val="5001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Source year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10002"/>
        <c:crosses val="autoZero"/>
        <c:auto val="1"/>
        <c:lblAlgn val="ctr"/>
        <c:lblOffset val="100"/>
        <c:noMultiLvlLbl val="0"/>
      </c:catAx>
      <c:valAx>
        <c:axId val="5001000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Vehicles per day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1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Figure 2: Modelled ADT Projection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8"/>
          <c:y val="0.18"/>
          <c:w val="0.72"/>
          <c:h val="0.62"/>
        </c:manualLayout>
      </c:layout>
      <c:lineChart>
        <c:grouping val="standard"/>
        <c:varyColors val="0"/>
        <c:ser>
          <c:idx val="0"/>
          <c:order val="0"/>
          <c:tx>
            <c:v>Projected ADT</c:v>
          </c:tx>
          <c:spPr>
            <a:ln w="28575">
              <a:solidFill>
                <a:srgbClr val="ED7D31"/>
              </a:solidFill>
            </a:ln>
          </c:spPr>
          <c:marker>
            <c:symbol val="none"/>
          </c:marker>
          <c:cat>
            <c:numRef>
              <c:f>Growth_Projection_Tool!$A$10:$A$23</c:f>
              <c:numCache>
                <c:formatCode>General</c:formatCode>
                <c:ptCount val="14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</c:numCache>
            </c:numRef>
          </c:cat>
          <c:val>
            <c:numRef>
              <c:f>Growth_Projection_Tool!$B$10:$B$23</c:f>
              <c:numCache>
                <c:formatCode>#,##0.00</c:formatCode>
                <c:ptCount val="14"/>
                <c:pt idx="0">
                  <c:v>109302.65272</c:v>
                </c:pt>
                <c:pt idx="1">
                  <c:v>114986.39066144002</c:v>
                </c:pt>
                <c:pt idx="2">
                  <c:v>120965.6829758349</c:v>
                </c:pt>
                <c:pt idx="3">
                  <c:v>127255.89849057833</c:v>
                </c:pt>
                <c:pt idx="4">
                  <c:v>133873.20521208839</c:v>
                </c:pt>
                <c:pt idx="5">
                  <c:v>140834.611883117</c:v>
                </c:pt>
                <c:pt idx="6">
                  <c:v>148158.0117010391</c:v>
                </c:pt>
                <c:pt idx="7">
                  <c:v>155862.22830949316</c:v>
                </c:pt>
                <c:pt idx="8">
                  <c:v>163967.06418158681</c:v>
                </c:pt>
                <c:pt idx="9">
                  <c:v>172493.35151902933</c:v>
                </c:pt>
                <c:pt idx="10">
                  <c:v>181463.00579801889</c:v>
                </c:pt>
                <c:pt idx="11">
                  <c:v>190899.08209951589</c:v>
                </c:pt>
                <c:pt idx="12">
                  <c:v>200825.8343686907</c:v>
                </c:pt>
                <c:pt idx="13">
                  <c:v>211268.77775586268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E30-4EE2-9AC3-5A65158A1D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020001"/>
        <c:axId val="50020002"/>
      </c:lineChart>
      <c:catAx>
        <c:axId val="5002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Year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20002"/>
        <c:crosses val="autoZero"/>
        <c:auto val="1"/>
        <c:lblAlgn val="ctr"/>
        <c:lblOffset val="100"/>
        <c:noMultiLvlLbl val="0"/>
      </c:catAx>
      <c:valAx>
        <c:axId val="5002000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Projected vehicles per day</a:t>
                </a:r>
              </a:p>
            </c:rich>
          </c:tx>
          <c:overlay val="0"/>
        </c:title>
        <c:numFmt formatCode="#,##0.00" sourceLinked="1"/>
        <c:majorTickMark val="out"/>
        <c:minorTickMark val="none"/>
        <c:tickLblPos val="nextTo"/>
        <c:crossAx val="50020001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3</xdr:row>
      <xdr:rowOff>0</xdr:rowOff>
    </xdr:from>
    <xdr:to>
      <xdr:col>25</xdr:col>
      <xdr:colOff>76200</xdr:colOff>
      <xdr:row>20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3</xdr:row>
      <xdr:rowOff>0</xdr:rowOff>
    </xdr:from>
    <xdr:to>
      <xdr:col>15</xdr:col>
      <xdr:colOff>76200</xdr:colOff>
      <xdr:row>20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Traffic2021" displayName="tblTraffic2021" ref="A3:Y225" totalsRowShown="0">
  <autoFilter ref="A3:Y225" xr:uid="{00000000-0009-0000-0100-000001000000}"/>
  <tableColumns count="25">
    <tableColumn id="1" xr3:uid="{00000000-0010-0000-0000-000001000000}" name="Section_ID"/>
    <tableColumn id="2" xr3:uid="{00000000-0010-0000-0000-000002000000}" name="Link_ID"/>
    <tableColumn id="3" xr3:uid="{00000000-0010-0000-0000-000003000000}" name="Link_Name"/>
    <tableColumn id="4" xr3:uid="{00000000-0010-0000-0000-000004000000}" name="Station"/>
    <tableColumn id="5" xr3:uid="{00000000-0010-0000-0000-000005000000}" name="Region"/>
    <tableColumn id="6" xr3:uid="{00000000-0010-0000-0000-000006000000}" name="Surface_Type"/>
    <tableColumn id="7" xr3:uid="{00000000-0010-0000-0000-000007000000}" name="Latitude"/>
    <tableColumn id="8" xr3:uid="{00000000-0010-0000-0000-000008000000}" name="Longitude"/>
    <tableColumn id="9" xr3:uid="{00000000-0010-0000-0000-000009000000}" name="Observed_Days"/>
    <tableColumn id="10" xr3:uid="{00000000-0010-0000-0000-00000A000000}" name="ADT_including_motorbikes"/>
    <tableColumn id="11" xr3:uid="{00000000-0010-0000-0000-00000B000000}" name="ADT_excluding_motorbikes"/>
    <tableColumn id="12" xr3:uid="{00000000-0010-0000-0000-00000C000000}" name="NMT"/>
    <tableColumn id="13" xr3:uid="{00000000-0010-0000-0000-00000D000000}" name="Motorcycles &amp; scooters"/>
    <tableColumn id="14" xr3:uid="{00000000-0010-0000-0000-00000E000000}" name="Saloon cars and taxis"/>
    <tableColumn id="15" xr3:uid="{00000000-0010-0000-0000-00000F000000}" name="Light goods, vans, pickups and 4WD"/>
    <tableColumn id="16" xr3:uid="{00000000-0010-0000-0000-000010000000}" name="Small buses, minibuses and matatus"/>
    <tableColumn id="17" xr3:uid="{00000000-0010-0000-0000-000011000000}" name="Medium buses / coasters"/>
    <tableColumn id="18" xr3:uid="{00000000-0010-0000-0000-000012000000}" name="Large buses"/>
    <tableColumn id="19" xr3:uid="{00000000-0010-0000-0000-000013000000}" name="Light single-unit trucks"/>
    <tableColumn id="20" xr3:uid="{00000000-0010-0000-0000-000014000000}" name="Medium / large single-unit trucks"/>
    <tableColumn id="21" xr3:uid="{00000000-0010-0000-0000-000015000000}" name="Truck trailers and semi-trailers"/>
    <tableColumn id="22" xr3:uid="{00000000-0010-0000-0000-000016000000}" name="Share_of_observed_aadt"/>
    <tableColumn id="23" xr3:uid="{00000000-0010-0000-0000-000017000000}" name="Source_Year"/>
    <tableColumn id="24" xr3:uid="{00000000-0010-0000-0000-000018000000}" name="Financial_Year"/>
    <tableColumn id="25" xr3:uid="{00000000-0010-0000-0000-000019000000}" name="Evidence_Statu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AnnualTrends" displayName="tblAnnualTrends" ref="A3:M7" totalsRowShown="0">
  <autoFilter ref="A3:M7" xr:uid="{00000000-0009-0000-0100-000002000000}"/>
  <tableColumns count="13">
    <tableColumn id="1" xr3:uid="{00000000-0010-0000-0100-000001000000}" name="year"/>
    <tableColumn id="2" xr3:uid="{00000000-0010-0000-0100-000002000000}" name="label"/>
    <tableColumn id="3" xr3:uid="{00000000-0010-0000-0100-000003000000}" name="sourceWorkbook"/>
    <tableColumn id="4" xr3:uid="{00000000-0010-0000-0100-000004000000}" name="rawSheet"/>
    <tableColumn id="5" xr3:uid="{00000000-0010-0000-0100-000005000000}" name="observedStations"/>
    <tableColumn id="6" xr3:uid="{00000000-0010-0000-0100-000006000000}" name="mappedStations"/>
    <tableColumn id="7" xr3:uid="{00000000-0010-0000-0100-000007000000}" name="averageStationADT"/>
    <tableColumn id="8" xr3:uid="{00000000-0010-0000-0100-000008000000}" name="medianStationADT"/>
    <tableColumn id="9" xr3:uid="{00000000-0010-0000-0100-000009000000}" name="peakStationADT"/>
    <tableColumn id="10" xr3:uid="{00000000-0010-0000-0100-00000A000000}" name="coverageRegions"/>
    <tableColumn id="11" xr3:uid="{00000000-0010-0000-0100-00000B000000}" name="surveyDateStart"/>
    <tableColumn id="12" xr3:uid="{00000000-0010-0000-0100-00000C000000}" name="surveyDateEnd"/>
    <tableColumn id="13" xr3:uid="{00000000-0010-0000-0100-00000D000000}" name="Evidence_Statu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blMonthlyTrends" displayName="tblMonthlyTrends" ref="A3:I27" totalsRowShown="0">
  <autoFilter ref="A3:I27" xr:uid="{00000000-0009-0000-0100-000003000000}"/>
  <tableColumns count="9">
    <tableColumn id="1" xr3:uid="{00000000-0010-0000-0200-000001000000}" name="Source_Year"/>
    <tableColumn id="2" xr3:uid="{00000000-0010-0000-0200-000002000000}" name="Month"/>
    <tableColumn id="3" xr3:uid="{00000000-0010-0000-0200-000003000000}" name="Financial_Year"/>
    <tableColumn id="4" xr3:uid="{00000000-0010-0000-0200-000004000000}" name="Observed_Roads"/>
    <tableColumn id="5" xr3:uid="{00000000-0010-0000-0200-000005000000}" name="Road_Days"/>
    <tableColumn id="6" xr3:uid="{00000000-0010-0000-0200-000006000000}" name="Survey_Days"/>
    <tableColumn id="7" xr3:uid="{00000000-0010-0000-0200-000007000000}" name="Total_Volume"/>
    <tableColumn id="8" xr3:uid="{00000000-0010-0000-0200-000008000000}" name="Average_Measured_Vehicles_per_Observed_Road"/>
    <tableColumn id="9" xr3:uid="{00000000-0010-0000-0200-000009000000}" name="Evidence_Statu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blVehicleClass2021" displayName="tblVehicleClass2021" ref="A3:E14" totalsRowShown="0">
  <autoFilter ref="A3:E14" xr:uid="{00000000-0009-0000-0100-000004000000}"/>
  <tableColumns count="5">
    <tableColumn id="1" xr3:uid="{00000000-0010-0000-0300-000001000000}" name="Class"/>
    <tableColumn id="2" xr3:uid="{00000000-0010-0000-0300-000002000000}" name="Total"/>
    <tableColumn id="3" xr3:uid="{00000000-0010-0000-0300-000003000000}" name="Share"/>
    <tableColumn id="4" xr3:uid="{00000000-0010-0000-0300-000004000000}" name="Source_Year"/>
    <tableColumn id="5" xr3:uid="{00000000-0010-0000-0300-000005000000}" name="Evidence_Statu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blRegion2021" displayName="tblRegion2021" ref="A3:F9" totalsRowShown="0">
  <autoFilter ref="A3:F9" xr:uid="{00000000-0009-0000-0100-000005000000}"/>
  <tableColumns count="6">
    <tableColumn id="1" xr3:uid="{00000000-0010-0000-0400-000001000000}" name="Region"/>
    <tableColumn id="2" xr3:uid="{00000000-0010-0000-0400-000002000000}" name="Stations"/>
    <tableColumn id="3" xr3:uid="{00000000-0010-0000-0400-000003000000}" name="Mean_ADT"/>
    <tableColumn id="4" xr3:uid="{00000000-0010-0000-0400-000004000000}" name="Peak_ADT"/>
    <tableColumn id="5" xr3:uid="{00000000-0010-0000-0400-000005000000}" name="Source_Year"/>
    <tableColumn id="6" xr3:uid="{00000000-0010-0000-0400-000006000000}" name="Evidence_Statu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blSurface2021" displayName="tblSurface2021" ref="A3:G4" totalsRowShown="0">
  <autoFilter ref="A3:G4" xr:uid="{00000000-0009-0000-0100-000006000000}"/>
  <tableColumns count="7">
    <tableColumn id="1" xr3:uid="{00000000-0010-0000-0500-000001000000}" name="Surface_Type"/>
    <tableColumn id="2" xr3:uid="{00000000-0010-0000-0500-000002000000}" name="Stations"/>
    <tableColumn id="3" xr3:uid="{00000000-0010-0000-0500-000003000000}" name="Mean_ADT"/>
    <tableColumn id="4" xr3:uid="{00000000-0010-0000-0500-000004000000}" name="Median_ADT"/>
    <tableColumn id="5" xr3:uid="{00000000-0010-0000-0500-000005000000}" name="Peak_ADT"/>
    <tableColumn id="6" xr3:uid="{00000000-0010-0000-0500-000006000000}" name="Source_Year"/>
    <tableColumn id="7" xr3:uid="{00000000-0010-0000-0500-000007000000}" name="Evidence_Statu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blATCPerformance" displayName="tblATCPerformance" ref="A3:D9" totalsRowShown="0">
  <autoFilter ref="A3:D9" xr:uid="{00000000-0009-0000-0100-000007000000}"/>
  <tableColumns count="4">
    <tableColumn id="1" xr3:uid="{00000000-0010-0000-0600-000001000000}" name="Station_Group"/>
    <tableColumn id="2" xr3:uid="{00000000-0010-0000-0600-000002000000}" name="Uptime_Percentage"/>
    <tableColumn id="3" xr3:uid="{00000000-0010-0000-0600-000003000000}" name="Reliability_Score"/>
    <tableColumn id="4" xr3:uid="{00000000-0010-0000-0600-000004000000}" name="Evidence_Status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blDimensionCoverage" displayName="tblDimensionCoverage" ref="A3:C12" totalsRowShown="0">
  <autoFilter ref="A3:C12" xr:uid="{00000000-0009-0000-0100-000008000000}"/>
  <tableColumns count="3">
    <tableColumn id="1" xr3:uid="{00000000-0010-0000-0700-000001000000}" name="Required Dimension"/>
    <tableColumn id="2" xr3:uid="{00000000-0010-0000-0700-000002000000}" name="Coverage Status"/>
    <tableColumn id="3" xr3:uid="{00000000-0010-0000-0700-000003000000}" name="Governance Note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blGrowthProjection" displayName="tblGrowthProjection" ref="A9:D23" totalsRowShown="0">
  <autoFilter ref="A9:D23" xr:uid="{00000000-0009-0000-0100-000009000000}"/>
  <tableColumns count="4">
    <tableColumn id="1" xr3:uid="{00000000-0010-0000-0800-000001000000}" name="Target Year"/>
    <tableColumn id="2" xr3:uid="{00000000-0010-0000-0800-000002000000}" name="Projected ADT"/>
    <tableColumn id="3" xr3:uid="{00000000-0010-0000-0800-000003000000}" name="Evidence Status"/>
    <tableColumn id="4" xr3:uid="{00000000-0010-0000-0800-000004000000}" name="Method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blGovernedSources" displayName="tblGovernedSources" ref="A3:B10" totalsRowShown="0">
  <autoFilter ref="A3:B10" xr:uid="{00000000-0009-0000-0100-00000A000000}"/>
  <tableColumns count="2">
    <tableColumn id="1" xr3:uid="{00000000-0010-0000-0900-000001000000}" name="Governed Source"/>
    <tableColumn id="2" xr3:uid="{00000000-0010-0000-0900-000002000000}" name="Us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225"/>
  <sheetViews>
    <sheetView tabSelected="1" workbookViewId="0">
      <pane xSplit="3" ySplit="3" topLeftCell="D4" activePane="bottomRight" state="frozen"/>
      <selection pane="topRight" activeCell="D1" sqref="D1"/>
      <selection pane="bottomLeft" activeCell="A4" sqref="A4"/>
      <selection pane="bottomRight" sqref="A1:Y1"/>
    </sheetView>
  </sheetViews>
  <sheetFormatPr defaultRowHeight="15" x14ac:dyDescent="0.25"/>
  <cols>
    <col min="1" max="2" width="12.7109375" customWidth="1"/>
    <col min="3" max="3" width="40.7109375" customWidth="1"/>
    <col min="4" max="5" width="12.7109375" customWidth="1"/>
    <col min="6" max="6" width="14.7109375" customWidth="1"/>
    <col min="7" max="8" width="12.7109375" customWidth="1"/>
    <col min="9" max="9" width="15.7109375" customWidth="1"/>
    <col min="10" max="11" width="26.7109375" customWidth="1"/>
    <col min="12" max="12" width="12.7109375" customWidth="1"/>
    <col min="13" max="13" width="24.7109375" customWidth="1"/>
    <col min="14" max="14" width="23.7109375" customWidth="1"/>
    <col min="15" max="16" width="28.7109375" customWidth="1"/>
    <col min="17" max="17" width="25.7109375" customWidth="1"/>
    <col min="18" max="18" width="13.7109375" customWidth="1"/>
    <col min="19" max="19" width="26.7109375" customWidth="1"/>
    <col min="20" max="21" width="28.7109375" customWidth="1"/>
    <col min="22" max="22" width="24.7109375" customWidth="1"/>
    <col min="23" max="23" width="13.7109375" customWidth="1"/>
    <col min="24" max="24" width="34.7109375" customWidth="1"/>
    <col min="25" max="25" width="26.7109375" customWidth="1"/>
  </cols>
  <sheetData>
    <row r="1" spans="1:25" ht="24" customHeight="1" x14ac:dyDescent="0.25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spans="1:25" ht="33.950000000000003" customHeight="1" x14ac:dyDescent="0.25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</row>
    <row r="3" spans="1:25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  <c r="N3" t="s">
        <v>15</v>
      </c>
      <c r="O3" t="s">
        <v>16</v>
      </c>
      <c r="P3" t="s">
        <v>17</v>
      </c>
      <c r="Q3" t="s">
        <v>18</v>
      </c>
      <c r="R3" t="s">
        <v>19</v>
      </c>
      <c r="S3" t="s">
        <v>20</v>
      </c>
      <c r="T3" t="s">
        <v>21</v>
      </c>
      <c r="U3" t="s">
        <v>22</v>
      </c>
      <c r="V3" t="s">
        <v>23</v>
      </c>
      <c r="W3" t="s">
        <v>24</v>
      </c>
      <c r="X3" t="s">
        <v>25</v>
      </c>
      <c r="Y3" t="s">
        <v>26</v>
      </c>
    </row>
    <row r="4" spans="1:25" x14ac:dyDescent="0.25">
      <c r="A4" t="s">
        <v>27</v>
      </c>
      <c r="B4" t="s">
        <v>28</v>
      </c>
      <c r="C4" t="s">
        <v>29</v>
      </c>
      <c r="D4" t="s">
        <v>30</v>
      </c>
      <c r="E4" t="s">
        <v>31</v>
      </c>
      <c r="F4" t="s">
        <v>32</v>
      </c>
      <c r="G4">
        <v>32.708525000000002</v>
      </c>
      <c r="H4">
        <v>0.38334099999999999</v>
      </c>
      <c r="I4">
        <v>0</v>
      </c>
      <c r="J4">
        <v>103899.86</v>
      </c>
      <c r="K4">
        <v>37534.71</v>
      </c>
      <c r="L4">
        <v>792.71</v>
      </c>
      <c r="M4">
        <v>66365.14</v>
      </c>
      <c r="N4">
        <v>20108.43</v>
      </c>
      <c r="O4">
        <v>10801.43</v>
      </c>
      <c r="P4">
        <v>3288.29</v>
      </c>
      <c r="Q4">
        <v>221.71</v>
      </c>
      <c r="R4">
        <v>35.43</v>
      </c>
      <c r="S4">
        <v>1739.29</v>
      </c>
      <c r="T4">
        <v>1098.43</v>
      </c>
      <c r="U4">
        <v>241.71</v>
      </c>
      <c r="V4">
        <v>0.100497</v>
      </c>
      <c r="W4">
        <v>2021</v>
      </c>
      <c r="X4" t="s">
        <v>33</v>
      </c>
      <c r="Y4" t="s">
        <v>34</v>
      </c>
    </row>
    <row r="5" spans="1:25" x14ac:dyDescent="0.25">
      <c r="A5" t="s">
        <v>35</v>
      </c>
      <c r="B5" t="s">
        <v>36</v>
      </c>
      <c r="C5" t="s">
        <v>37</v>
      </c>
      <c r="D5" t="s">
        <v>30</v>
      </c>
      <c r="E5" t="s">
        <v>31</v>
      </c>
      <c r="F5" t="s">
        <v>32</v>
      </c>
      <c r="G5">
        <v>32.61121</v>
      </c>
      <c r="H5">
        <v>0.282194</v>
      </c>
      <c r="I5">
        <v>0</v>
      </c>
      <c r="J5">
        <v>72501.570000000007</v>
      </c>
      <c r="K5">
        <v>15829.57</v>
      </c>
      <c r="L5">
        <v>403.43</v>
      </c>
      <c r="M5">
        <v>56672</v>
      </c>
      <c r="N5">
        <v>6789.29</v>
      </c>
      <c r="O5">
        <v>5915.14</v>
      </c>
      <c r="P5">
        <v>2232.71</v>
      </c>
      <c r="Q5">
        <v>71.86</v>
      </c>
      <c r="R5">
        <v>9</v>
      </c>
      <c r="S5">
        <v>385.14</v>
      </c>
      <c r="T5">
        <v>399.14</v>
      </c>
      <c r="U5">
        <v>27.29</v>
      </c>
      <c r="V5">
        <v>7.0126999999999995E-2</v>
      </c>
      <c r="W5">
        <v>2021</v>
      </c>
      <c r="X5" t="s">
        <v>33</v>
      </c>
      <c r="Y5" t="s">
        <v>34</v>
      </c>
    </row>
    <row r="6" spans="1:25" x14ac:dyDescent="0.25">
      <c r="A6" t="s">
        <v>38</v>
      </c>
      <c r="B6" t="s">
        <v>39</v>
      </c>
      <c r="C6" t="s">
        <v>40</v>
      </c>
      <c r="D6" t="s">
        <v>30</v>
      </c>
      <c r="E6" t="s">
        <v>31</v>
      </c>
      <c r="F6" t="s">
        <v>32</v>
      </c>
      <c r="G6">
        <v>32.674174999999998</v>
      </c>
      <c r="H6">
        <v>0.354184</v>
      </c>
      <c r="I6">
        <v>0</v>
      </c>
      <c r="J6">
        <v>58406</v>
      </c>
      <c r="K6">
        <v>16720.71</v>
      </c>
      <c r="L6">
        <v>0</v>
      </c>
      <c r="M6">
        <v>41685.29</v>
      </c>
      <c r="N6">
        <v>5176.71</v>
      </c>
      <c r="O6">
        <v>3146.71</v>
      </c>
      <c r="P6">
        <v>3287.43</v>
      </c>
      <c r="Q6">
        <v>171.86</v>
      </c>
      <c r="R6">
        <v>103.43</v>
      </c>
      <c r="S6">
        <v>656.57</v>
      </c>
      <c r="T6">
        <v>1948</v>
      </c>
      <c r="U6">
        <v>2230</v>
      </c>
      <c r="V6">
        <v>5.6493000000000002E-2</v>
      </c>
      <c r="W6">
        <v>2021</v>
      </c>
      <c r="X6" t="s">
        <v>33</v>
      </c>
      <c r="Y6" t="s">
        <v>34</v>
      </c>
    </row>
    <row r="7" spans="1:25" x14ac:dyDescent="0.25">
      <c r="A7" t="s">
        <v>41</v>
      </c>
      <c r="B7" t="s">
        <v>42</v>
      </c>
      <c r="C7" t="s">
        <v>43</v>
      </c>
      <c r="D7" t="s">
        <v>30</v>
      </c>
      <c r="E7" t="s">
        <v>31</v>
      </c>
      <c r="F7" t="s">
        <v>32</v>
      </c>
      <c r="G7">
        <v>32.532823</v>
      </c>
      <c r="H7">
        <v>0.43562499999999998</v>
      </c>
      <c r="I7">
        <v>0</v>
      </c>
      <c r="J7">
        <v>38446.14</v>
      </c>
      <c r="K7">
        <v>13745.57</v>
      </c>
      <c r="L7">
        <v>229.43</v>
      </c>
      <c r="M7">
        <v>24700.57</v>
      </c>
      <c r="N7">
        <v>4189.43</v>
      </c>
      <c r="O7">
        <v>3400.29</v>
      </c>
      <c r="P7">
        <v>3070.71</v>
      </c>
      <c r="Q7">
        <v>193.43</v>
      </c>
      <c r="R7">
        <v>184.57</v>
      </c>
      <c r="S7">
        <v>1074.8599999999999</v>
      </c>
      <c r="T7">
        <v>1154.29</v>
      </c>
      <c r="U7">
        <v>478</v>
      </c>
      <c r="V7">
        <v>3.7186999999999998E-2</v>
      </c>
      <c r="W7">
        <v>2021</v>
      </c>
      <c r="X7" t="s">
        <v>33</v>
      </c>
      <c r="Y7" t="s">
        <v>34</v>
      </c>
    </row>
    <row r="8" spans="1:25" x14ac:dyDescent="0.25">
      <c r="A8" t="s">
        <v>44</v>
      </c>
      <c r="B8" t="s">
        <v>45</v>
      </c>
      <c r="C8" t="s">
        <v>46</v>
      </c>
      <c r="D8" t="s">
        <v>47</v>
      </c>
      <c r="E8" t="s">
        <v>48</v>
      </c>
      <c r="F8" t="s">
        <v>32</v>
      </c>
      <c r="G8">
        <v>30.938963999999999</v>
      </c>
      <c r="H8">
        <v>3.4933130000000001</v>
      </c>
      <c r="I8">
        <v>11</v>
      </c>
      <c r="J8">
        <v>36270.86</v>
      </c>
      <c r="K8">
        <v>14866</v>
      </c>
      <c r="L8">
        <v>333.14</v>
      </c>
      <c r="M8">
        <v>21404.86</v>
      </c>
      <c r="N8">
        <v>3260.14</v>
      </c>
      <c r="O8">
        <v>3455.57</v>
      </c>
      <c r="P8">
        <v>3985</v>
      </c>
      <c r="Q8">
        <v>448</v>
      </c>
      <c r="R8">
        <v>110.71</v>
      </c>
      <c r="S8">
        <v>365.43</v>
      </c>
      <c r="T8">
        <v>1541.29</v>
      </c>
      <c r="U8">
        <v>1699.86</v>
      </c>
      <c r="V8">
        <v>3.5083000000000003E-2</v>
      </c>
      <c r="W8">
        <v>2021</v>
      </c>
      <c r="X8" t="s">
        <v>33</v>
      </c>
      <c r="Y8" t="s">
        <v>34</v>
      </c>
    </row>
    <row r="9" spans="1:25" x14ac:dyDescent="0.25">
      <c r="A9" t="s">
        <v>49</v>
      </c>
      <c r="B9" t="s">
        <v>50</v>
      </c>
      <c r="C9" t="s">
        <v>51</v>
      </c>
      <c r="D9" t="s">
        <v>52</v>
      </c>
      <c r="E9" t="s">
        <v>31</v>
      </c>
      <c r="F9" t="s">
        <v>32</v>
      </c>
      <c r="G9">
        <v>32.334400000000002</v>
      </c>
      <c r="H9">
        <v>0.220085</v>
      </c>
      <c r="I9">
        <v>0</v>
      </c>
      <c r="J9">
        <v>32249.14</v>
      </c>
      <c r="K9">
        <v>21112.86</v>
      </c>
      <c r="L9">
        <v>149.29</v>
      </c>
      <c r="M9">
        <v>11136.29</v>
      </c>
      <c r="N9">
        <v>5161.43</v>
      </c>
      <c r="O9">
        <v>5561.29</v>
      </c>
      <c r="P9">
        <v>4118.71</v>
      </c>
      <c r="Q9">
        <v>229.29</v>
      </c>
      <c r="R9">
        <v>433.71</v>
      </c>
      <c r="S9">
        <v>1357.86</v>
      </c>
      <c r="T9">
        <v>2485.4299999999998</v>
      </c>
      <c r="U9">
        <v>1765.14</v>
      </c>
      <c r="V9">
        <v>3.1192999999999999E-2</v>
      </c>
      <c r="W9">
        <v>2021</v>
      </c>
      <c r="X9" t="s">
        <v>33</v>
      </c>
      <c r="Y9" t="s">
        <v>34</v>
      </c>
    </row>
    <row r="10" spans="1:25" x14ac:dyDescent="0.25">
      <c r="A10" t="s">
        <v>53</v>
      </c>
      <c r="B10" t="s">
        <v>54</v>
      </c>
      <c r="C10" t="s">
        <v>55</v>
      </c>
      <c r="D10" t="s">
        <v>52</v>
      </c>
      <c r="E10" t="s">
        <v>31</v>
      </c>
      <c r="F10" t="s">
        <v>32</v>
      </c>
      <c r="G10">
        <v>32.433027000000003</v>
      </c>
      <c r="H10">
        <v>0.26639800000000002</v>
      </c>
      <c r="I10">
        <v>0</v>
      </c>
      <c r="J10">
        <v>29340.29</v>
      </c>
      <c r="K10">
        <v>17901.43</v>
      </c>
      <c r="L10">
        <v>175.14</v>
      </c>
      <c r="M10">
        <v>11438.86</v>
      </c>
      <c r="N10">
        <v>5780</v>
      </c>
      <c r="O10">
        <v>3032.43</v>
      </c>
      <c r="P10">
        <v>4105.1400000000003</v>
      </c>
      <c r="Q10">
        <v>259</v>
      </c>
      <c r="R10">
        <v>292.57</v>
      </c>
      <c r="S10">
        <v>1198</v>
      </c>
      <c r="T10">
        <v>2342.71</v>
      </c>
      <c r="U10">
        <v>891.57</v>
      </c>
      <c r="V10">
        <v>2.8379000000000001E-2</v>
      </c>
      <c r="W10">
        <v>2021</v>
      </c>
      <c r="X10" t="s">
        <v>33</v>
      </c>
      <c r="Y10" t="s">
        <v>34</v>
      </c>
    </row>
    <row r="11" spans="1:25" x14ac:dyDescent="0.25">
      <c r="A11" t="s">
        <v>56</v>
      </c>
      <c r="B11" t="s">
        <v>57</v>
      </c>
      <c r="C11" t="s">
        <v>58</v>
      </c>
      <c r="D11" t="s">
        <v>30</v>
      </c>
      <c r="E11" t="s">
        <v>31</v>
      </c>
      <c r="F11" t="s">
        <v>32</v>
      </c>
      <c r="G11">
        <v>32.469051999999998</v>
      </c>
      <c r="H11">
        <v>0.40689799999999998</v>
      </c>
      <c r="I11">
        <v>0</v>
      </c>
      <c r="J11">
        <v>27881.43</v>
      </c>
      <c r="K11">
        <v>12379</v>
      </c>
      <c r="L11">
        <v>257</v>
      </c>
      <c r="M11">
        <v>15502.43</v>
      </c>
      <c r="N11">
        <v>4573.8599999999997</v>
      </c>
      <c r="O11">
        <v>2650.57</v>
      </c>
      <c r="P11">
        <v>3034.71</v>
      </c>
      <c r="Q11">
        <v>54.43</v>
      </c>
      <c r="R11">
        <v>32.57</v>
      </c>
      <c r="S11">
        <v>1299.71</v>
      </c>
      <c r="T11">
        <v>594.71</v>
      </c>
      <c r="U11">
        <v>138.43</v>
      </c>
      <c r="V11">
        <v>2.6967999999999999E-2</v>
      </c>
      <c r="W11">
        <v>2021</v>
      </c>
      <c r="X11" t="s">
        <v>33</v>
      </c>
      <c r="Y11" t="s">
        <v>34</v>
      </c>
    </row>
    <row r="12" spans="1:25" x14ac:dyDescent="0.25">
      <c r="A12" t="s">
        <v>59</v>
      </c>
      <c r="B12" t="s">
        <v>60</v>
      </c>
      <c r="C12" t="s">
        <v>61</v>
      </c>
      <c r="D12" t="s">
        <v>62</v>
      </c>
      <c r="E12" t="s">
        <v>31</v>
      </c>
      <c r="F12" t="s">
        <v>32</v>
      </c>
      <c r="G12">
        <v>31.728985999999999</v>
      </c>
      <c r="H12">
        <v>-0.33698800000000001</v>
      </c>
      <c r="I12">
        <v>0</v>
      </c>
      <c r="J12">
        <v>25290.57</v>
      </c>
      <c r="K12">
        <v>5609.14</v>
      </c>
      <c r="L12">
        <v>218.71</v>
      </c>
      <c r="M12">
        <v>19681.43</v>
      </c>
      <c r="N12">
        <v>3039</v>
      </c>
      <c r="O12">
        <v>978.14</v>
      </c>
      <c r="P12">
        <v>681.14</v>
      </c>
      <c r="Q12">
        <v>65.14</v>
      </c>
      <c r="R12">
        <v>23</v>
      </c>
      <c r="S12">
        <v>313.86</v>
      </c>
      <c r="T12">
        <v>352.86</v>
      </c>
      <c r="U12">
        <v>156</v>
      </c>
      <c r="V12">
        <v>2.4462000000000001E-2</v>
      </c>
      <c r="W12">
        <v>2021</v>
      </c>
      <c r="X12" t="s">
        <v>33</v>
      </c>
      <c r="Y12" t="s">
        <v>34</v>
      </c>
    </row>
    <row r="13" spans="1:25" x14ac:dyDescent="0.25">
      <c r="A13" t="s">
        <v>63</v>
      </c>
      <c r="B13" t="s">
        <v>64</v>
      </c>
      <c r="C13" t="s">
        <v>65</v>
      </c>
      <c r="D13" t="s">
        <v>30</v>
      </c>
      <c r="E13" t="s">
        <v>31</v>
      </c>
      <c r="F13" t="s">
        <v>32</v>
      </c>
      <c r="G13">
        <v>32.541103999999997</v>
      </c>
      <c r="H13">
        <v>0.14074200000000001</v>
      </c>
      <c r="I13">
        <v>0</v>
      </c>
      <c r="J13">
        <v>25012.57</v>
      </c>
      <c r="K13">
        <v>14784.57</v>
      </c>
      <c r="L13">
        <v>224</v>
      </c>
      <c r="M13">
        <v>10228</v>
      </c>
      <c r="N13">
        <v>5922</v>
      </c>
      <c r="O13">
        <v>5002.57</v>
      </c>
      <c r="P13">
        <v>2485.86</v>
      </c>
      <c r="Q13">
        <v>88</v>
      </c>
      <c r="R13">
        <v>42</v>
      </c>
      <c r="S13">
        <v>444.71</v>
      </c>
      <c r="T13">
        <v>619.71</v>
      </c>
      <c r="U13">
        <v>179.71</v>
      </c>
      <c r="V13">
        <v>2.4192999999999999E-2</v>
      </c>
      <c r="W13">
        <v>2021</v>
      </c>
      <c r="X13" t="s">
        <v>33</v>
      </c>
      <c r="Y13" t="s">
        <v>34</v>
      </c>
    </row>
    <row r="14" spans="1:25" x14ac:dyDescent="0.25">
      <c r="A14" t="s">
        <v>66</v>
      </c>
      <c r="B14" t="s">
        <v>67</v>
      </c>
      <c r="C14" t="s">
        <v>68</v>
      </c>
      <c r="D14" t="s">
        <v>69</v>
      </c>
      <c r="E14" t="s">
        <v>31</v>
      </c>
      <c r="F14" t="s">
        <v>32</v>
      </c>
      <c r="G14">
        <v>32.525945</v>
      </c>
      <c r="H14">
        <v>0.67852000000000001</v>
      </c>
      <c r="I14">
        <v>0</v>
      </c>
      <c r="J14">
        <v>22987.71</v>
      </c>
      <c r="K14">
        <v>13528.14</v>
      </c>
      <c r="L14">
        <v>10.86</v>
      </c>
      <c r="M14">
        <v>9459.57</v>
      </c>
      <c r="N14">
        <v>4227.8599999999997</v>
      </c>
      <c r="O14">
        <v>4322</v>
      </c>
      <c r="P14">
        <v>2101.14</v>
      </c>
      <c r="Q14">
        <v>137.71</v>
      </c>
      <c r="R14">
        <v>211.43</v>
      </c>
      <c r="S14">
        <v>918.14</v>
      </c>
      <c r="T14">
        <v>869.14</v>
      </c>
      <c r="U14">
        <v>740.71</v>
      </c>
      <c r="V14">
        <v>2.2235000000000001E-2</v>
      </c>
      <c r="W14">
        <v>2021</v>
      </c>
      <c r="X14" t="s">
        <v>33</v>
      </c>
      <c r="Y14" t="s">
        <v>34</v>
      </c>
    </row>
    <row r="15" spans="1:25" x14ac:dyDescent="0.25">
      <c r="A15" t="s">
        <v>70</v>
      </c>
      <c r="B15" t="s">
        <v>71</v>
      </c>
      <c r="C15" t="s">
        <v>72</v>
      </c>
      <c r="D15" t="s">
        <v>73</v>
      </c>
      <c r="E15" t="s">
        <v>31</v>
      </c>
      <c r="F15" t="s">
        <v>32</v>
      </c>
      <c r="G15">
        <v>31.396642</v>
      </c>
      <c r="H15">
        <v>0.55042899999999995</v>
      </c>
      <c r="I15">
        <v>0</v>
      </c>
      <c r="J15">
        <v>22563.86</v>
      </c>
      <c r="K15">
        <v>7014.86</v>
      </c>
      <c r="L15">
        <v>672.71</v>
      </c>
      <c r="M15">
        <v>15549</v>
      </c>
      <c r="N15">
        <v>2553.5700000000002</v>
      </c>
      <c r="O15">
        <v>1233.71</v>
      </c>
      <c r="P15">
        <v>892</v>
      </c>
      <c r="Q15">
        <v>20.71</v>
      </c>
      <c r="R15">
        <v>76.709999999999994</v>
      </c>
      <c r="S15">
        <v>799.14</v>
      </c>
      <c r="T15">
        <v>975.14</v>
      </c>
      <c r="U15">
        <v>463.86</v>
      </c>
      <c r="V15">
        <v>2.1825000000000001E-2</v>
      </c>
      <c r="W15">
        <v>2021</v>
      </c>
      <c r="X15" t="s">
        <v>33</v>
      </c>
      <c r="Y15" t="s">
        <v>34</v>
      </c>
    </row>
    <row r="16" spans="1:25" x14ac:dyDescent="0.25">
      <c r="A16" t="s">
        <v>74</v>
      </c>
      <c r="B16" t="s">
        <v>75</v>
      </c>
      <c r="C16" t="s">
        <v>76</v>
      </c>
      <c r="D16" t="s">
        <v>47</v>
      </c>
      <c r="E16" t="s">
        <v>48</v>
      </c>
      <c r="F16" t="s">
        <v>32</v>
      </c>
      <c r="G16">
        <v>31.100867999999998</v>
      </c>
      <c r="H16">
        <v>3.406444</v>
      </c>
      <c r="I16">
        <v>7</v>
      </c>
      <c r="J16">
        <v>16441.14</v>
      </c>
      <c r="K16">
        <v>2803.14</v>
      </c>
      <c r="L16">
        <v>1300.43</v>
      </c>
      <c r="M16">
        <v>13638</v>
      </c>
      <c r="N16">
        <v>894.57</v>
      </c>
      <c r="O16">
        <v>1178.8599999999999</v>
      </c>
      <c r="P16">
        <v>120.86</v>
      </c>
      <c r="Q16">
        <v>15.14</v>
      </c>
      <c r="R16">
        <v>59.71</v>
      </c>
      <c r="S16">
        <v>185.29</v>
      </c>
      <c r="T16">
        <v>235.57</v>
      </c>
      <c r="U16">
        <v>113.14</v>
      </c>
      <c r="V16">
        <v>1.5903E-2</v>
      </c>
      <c r="W16">
        <v>2021</v>
      </c>
      <c r="X16" t="s">
        <v>33</v>
      </c>
      <c r="Y16" t="s">
        <v>34</v>
      </c>
    </row>
    <row r="17" spans="1:25" x14ac:dyDescent="0.25">
      <c r="A17" t="s">
        <v>77</v>
      </c>
      <c r="B17" t="s">
        <v>78</v>
      </c>
      <c r="C17" t="s">
        <v>79</v>
      </c>
      <c r="D17" t="s">
        <v>69</v>
      </c>
      <c r="E17" t="s">
        <v>31</v>
      </c>
      <c r="F17" t="s">
        <v>32</v>
      </c>
      <c r="G17">
        <v>32.617826000000001</v>
      </c>
      <c r="H17">
        <v>0.51286399999999999</v>
      </c>
      <c r="I17">
        <v>0</v>
      </c>
      <c r="J17">
        <v>14058.29</v>
      </c>
      <c r="K17">
        <v>5340</v>
      </c>
      <c r="L17">
        <v>102.43</v>
      </c>
      <c r="M17">
        <v>8718.2900000000009</v>
      </c>
      <c r="N17">
        <v>2102.14</v>
      </c>
      <c r="O17">
        <v>1329.86</v>
      </c>
      <c r="P17">
        <v>1007.71</v>
      </c>
      <c r="Q17">
        <v>13.71</v>
      </c>
      <c r="R17">
        <v>5.57</v>
      </c>
      <c r="S17">
        <v>494.14</v>
      </c>
      <c r="T17">
        <v>350</v>
      </c>
      <c r="U17">
        <v>36.86</v>
      </c>
      <c r="V17">
        <v>1.3598000000000001E-2</v>
      </c>
      <c r="W17">
        <v>2021</v>
      </c>
      <c r="X17" t="s">
        <v>33</v>
      </c>
      <c r="Y17" t="s">
        <v>34</v>
      </c>
    </row>
    <row r="18" spans="1:25" x14ac:dyDescent="0.25">
      <c r="A18" t="s">
        <v>80</v>
      </c>
      <c r="B18" t="s">
        <v>81</v>
      </c>
      <c r="C18" t="s">
        <v>82</v>
      </c>
      <c r="D18" t="s">
        <v>52</v>
      </c>
      <c r="E18" t="s">
        <v>31</v>
      </c>
      <c r="F18" t="s">
        <v>32</v>
      </c>
      <c r="G18">
        <v>31.843214</v>
      </c>
      <c r="H18">
        <v>-0.20655599999999999</v>
      </c>
      <c r="I18">
        <v>0</v>
      </c>
      <c r="J18">
        <v>12189</v>
      </c>
      <c r="K18">
        <v>8573.7099999999991</v>
      </c>
      <c r="L18">
        <v>107.57</v>
      </c>
      <c r="M18">
        <v>3615.29</v>
      </c>
      <c r="N18">
        <v>2532.14</v>
      </c>
      <c r="O18">
        <v>1559.71</v>
      </c>
      <c r="P18">
        <v>1430</v>
      </c>
      <c r="Q18">
        <v>149.57</v>
      </c>
      <c r="R18">
        <v>304.86</v>
      </c>
      <c r="S18">
        <v>312.70999999999998</v>
      </c>
      <c r="T18">
        <v>1438.14</v>
      </c>
      <c r="U18">
        <v>846.57</v>
      </c>
      <c r="V18">
        <v>1.179E-2</v>
      </c>
      <c r="W18">
        <v>2021</v>
      </c>
      <c r="X18" t="s">
        <v>33</v>
      </c>
      <c r="Y18" t="s">
        <v>34</v>
      </c>
    </row>
    <row r="19" spans="1:25" x14ac:dyDescent="0.25">
      <c r="A19" t="s">
        <v>83</v>
      </c>
      <c r="B19" t="s">
        <v>84</v>
      </c>
      <c r="C19" t="s">
        <v>85</v>
      </c>
      <c r="D19" t="s">
        <v>69</v>
      </c>
      <c r="E19" t="s">
        <v>31</v>
      </c>
      <c r="F19" t="s">
        <v>32</v>
      </c>
      <c r="G19">
        <v>32.510057000000003</v>
      </c>
      <c r="H19">
        <v>0.78317999999999999</v>
      </c>
      <c r="I19">
        <v>0</v>
      </c>
      <c r="J19">
        <v>11877.71</v>
      </c>
      <c r="K19">
        <v>7680.57</v>
      </c>
      <c r="L19">
        <v>198</v>
      </c>
      <c r="M19">
        <v>4197.1400000000003</v>
      </c>
      <c r="N19">
        <v>2156.86</v>
      </c>
      <c r="O19">
        <v>1631.57</v>
      </c>
      <c r="P19">
        <v>1869.86</v>
      </c>
      <c r="Q19">
        <v>69.86</v>
      </c>
      <c r="R19">
        <v>141.86000000000001</v>
      </c>
      <c r="S19">
        <v>633.14</v>
      </c>
      <c r="T19">
        <v>841.86</v>
      </c>
      <c r="U19">
        <v>335.57</v>
      </c>
      <c r="V19">
        <v>1.1488999999999999E-2</v>
      </c>
      <c r="W19">
        <v>2021</v>
      </c>
      <c r="X19" t="s">
        <v>33</v>
      </c>
      <c r="Y19" t="s">
        <v>34</v>
      </c>
    </row>
    <row r="20" spans="1:25" x14ac:dyDescent="0.25">
      <c r="A20" t="s">
        <v>86</v>
      </c>
      <c r="B20" t="s">
        <v>87</v>
      </c>
      <c r="C20" t="s">
        <v>88</v>
      </c>
      <c r="D20" t="s">
        <v>30</v>
      </c>
      <c r="E20" t="s">
        <v>31</v>
      </c>
      <c r="F20" t="s">
        <v>32</v>
      </c>
      <c r="G20">
        <v>32.592027000000002</v>
      </c>
      <c r="H20">
        <v>0.24939600000000001</v>
      </c>
      <c r="I20">
        <v>0</v>
      </c>
      <c r="J20">
        <v>10227.14</v>
      </c>
      <c r="K20">
        <v>3767.43</v>
      </c>
      <c r="L20">
        <v>157.13999999999999</v>
      </c>
      <c r="M20">
        <v>6459.71</v>
      </c>
      <c r="N20">
        <v>1283.1400000000001</v>
      </c>
      <c r="O20">
        <v>457.86</v>
      </c>
      <c r="P20">
        <v>1573.86</v>
      </c>
      <c r="Q20">
        <v>29.43</v>
      </c>
      <c r="R20">
        <v>10.43</v>
      </c>
      <c r="S20">
        <v>312.70999999999998</v>
      </c>
      <c r="T20">
        <v>74.430000000000007</v>
      </c>
      <c r="U20">
        <v>25.57</v>
      </c>
      <c r="V20">
        <v>9.8919999999999998E-3</v>
      </c>
      <c r="W20">
        <v>2021</v>
      </c>
      <c r="X20" t="s">
        <v>33</v>
      </c>
      <c r="Y20" t="s">
        <v>34</v>
      </c>
    </row>
    <row r="21" spans="1:25" x14ac:dyDescent="0.25">
      <c r="A21" t="s">
        <v>89</v>
      </c>
      <c r="B21" t="s">
        <v>90</v>
      </c>
      <c r="C21" t="s">
        <v>91</v>
      </c>
      <c r="D21" t="s">
        <v>30</v>
      </c>
      <c r="E21" t="s">
        <v>31</v>
      </c>
      <c r="F21" t="s">
        <v>32</v>
      </c>
      <c r="G21">
        <v>32.516061000000001</v>
      </c>
      <c r="H21">
        <v>0.29987399999999997</v>
      </c>
      <c r="I21">
        <v>0</v>
      </c>
      <c r="J21">
        <v>9904.2900000000009</v>
      </c>
      <c r="K21">
        <v>4416.57</v>
      </c>
      <c r="L21">
        <v>168</v>
      </c>
      <c r="M21">
        <v>5487.71</v>
      </c>
      <c r="N21">
        <v>1502.29</v>
      </c>
      <c r="O21">
        <v>1418.43</v>
      </c>
      <c r="P21">
        <v>762.57</v>
      </c>
      <c r="Q21">
        <v>23.14</v>
      </c>
      <c r="R21">
        <v>35.14</v>
      </c>
      <c r="S21">
        <v>358.71</v>
      </c>
      <c r="T21">
        <v>298.70999999999998</v>
      </c>
      <c r="U21">
        <v>17.57</v>
      </c>
      <c r="V21">
        <v>9.58E-3</v>
      </c>
      <c r="W21">
        <v>2021</v>
      </c>
      <c r="X21" t="s">
        <v>33</v>
      </c>
      <c r="Y21" t="s">
        <v>34</v>
      </c>
    </row>
    <row r="22" spans="1:25" x14ac:dyDescent="0.25">
      <c r="A22" t="s">
        <v>92</v>
      </c>
      <c r="B22" t="s">
        <v>93</v>
      </c>
      <c r="C22" t="s">
        <v>94</v>
      </c>
      <c r="D22" t="s">
        <v>95</v>
      </c>
      <c r="E22" t="s">
        <v>96</v>
      </c>
      <c r="F22" t="s">
        <v>32</v>
      </c>
      <c r="G22">
        <v>33.493991999999999</v>
      </c>
      <c r="H22">
        <v>0.42033399999999999</v>
      </c>
      <c r="I22">
        <v>7</v>
      </c>
      <c r="J22">
        <v>8707.14</v>
      </c>
      <c r="K22">
        <v>998.43</v>
      </c>
      <c r="L22">
        <v>691.86</v>
      </c>
      <c r="M22">
        <v>7708.71</v>
      </c>
      <c r="N22">
        <v>242.29</v>
      </c>
      <c r="O22">
        <v>505.86</v>
      </c>
      <c r="P22">
        <v>2.14</v>
      </c>
      <c r="Q22">
        <v>6.43</v>
      </c>
      <c r="R22">
        <v>31</v>
      </c>
      <c r="S22">
        <v>57.71</v>
      </c>
      <c r="T22">
        <v>136</v>
      </c>
      <c r="U22">
        <v>17</v>
      </c>
      <c r="V22">
        <v>8.4220000000000007E-3</v>
      </c>
      <c r="W22">
        <v>2021</v>
      </c>
      <c r="X22" t="s">
        <v>33</v>
      </c>
      <c r="Y22" t="s">
        <v>34</v>
      </c>
    </row>
    <row r="23" spans="1:25" x14ac:dyDescent="0.25">
      <c r="A23" t="s">
        <v>97</v>
      </c>
      <c r="B23" t="s">
        <v>98</v>
      </c>
      <c r="C23" t="s">
        <v>99</v>
      </c>
      <c r="D23" t="s">
        <v>100</v>
      </c>
      <c r="E23" t="s">
        <v>48</v>
      </c>
      <c r="F23" t="s">
        <v>32</v>
      </c>
      <c r="G23">
        <v>31.839033000000001</v>
      </c>
      <c r="H23">
        <v>3.360951</v>
      </c>
      <c r="I23">
        <v>11</v>
      </c>
      <c r="J23">
        <v>8498.7900000000009</v>
      </c>
      <c r="K23">
        <v>6376.43</v>
      </c>
      <c r="L23">
        <v>79.790000000000006</v>
      </c>
      <c r="M23">
        <v>2122.36</v>
      </c>
      <c r="N23">
        <v>1383.29</v>
      </c>
      <c r="O23">
        <v>1088.6400000000001</v>
      </c>
      <c r="P23">
        <v>1550</v>
      </c>
      <c r="Q23">
        <v>72.790000000000006</v>
      </c>
      <c r="R23">
        <v>106.5</v>
      </c>
      <c r="S23">
        <v>334.64</v>
      </c>
      <c r="T23">
        <v>714.93</v>
      </c>
      <c r="U23">
        <v>1125.6400000000001</v>
      </c>
      <c r="V23">
        <v>8.2199999999999999E-3</v>
      </c>
      <c r="W23">
        <v>2021</v>
      </c>
      <c r="X23" t="s">
        <v>33</v>
      </c>
      <c r="Y23" t="s">
        <v>34</v>
      </c>
    </row>
    <row r="24" spans="1:25" x14ac:dyDescent="0.25">
      <c r="A24" t="s">
        <v>101</v>
      </c>
      <c r="B24" t="s">
        <v>98</v>
      </c>
      <c r="C24" t="s">
        <v>99</v>
      </c>
      <c r="D24" t="s">
        <v>100</v>
      </c>
      <c r="E24" t="s">
        <v>48</v>
      </c>
      <c r="F24" t="s">
        <v>32</v>
      </c>
      <c r="G24">
        <v>32.078262000000002</v>
      </c>
      <c r="H24">
        <v>3.3019949999999998</v>
      </c>
      <c r="I24">
        <v>11</v>
      </c>
      <c r="J24">
        <v>8498.7900000000009</v>
      </c>
      <c r="K24">
        <v>6376.43</v>
      </c>
      <c r="L24">
        <v>79.790000000000006</v>
      </c>
      <c r="M24">
        <v>2122.36</v>
      </c>
      <c r="N24">
        <v>1383.29</v>
      </c>
      <c r="O24">
        <v>1088.6400000000001</v>
      </c>
      <c r="P24">
        <v>1550</v>
      </c>
      <c r="Q24">
        <v>72.790000000000006</v>
      </c>
      <c r="R24">
        <v>106.5</v>
      </c>
      <c r="S24">
        <v>334.64</v>
      </c>
      <c r="T24">
        <v>714.93</v>
      </c>
      <c r="U24">
        <v>1125.6400000000001</v>
      </c>
      <c r="V24">
        <v>8.2199999999999999E-3</v>
      </c>
      <c r="W24">
        <v>2021</v>
      </c>
      <c r="X24" t="s">
        <v>33</v>
      </c>
      <c r="Y24" t="s">
        <v>34</v>
      </c>
    </row>
    <row r="25" spans="1:25" x14ac:dyDescent="0.25">
      <c r="A25" t="s">
        <v>102</v>
      </c>
      <c r="B25" t="s">
        <v>103</v>
      </c>
      <c r="C25" t="s">
        <v>104</v>
      </c>
      <c r="D25" t="s">
        <v>100</v>
      </c>
      <c r="E25" t="s">
        <v>48</v>
      </c>
      <c r="F25" t="s">
        <v>32</v>
      </c>
      <c r="G25">
        <v>31.621765</v>
      </c>
      <c r="H25">
        <v>3.441716</v>
      </c>
      <c r="I25">
        <v>7</v>
      </c>
      <c r="J25">
        <v>8277.14</v>
      </c>
      <c r="K25">
        <v>2829.29</v>
      </c>
      <c r="L25">
        <v>727.86</v>
      </c>
      <c r="M25">
        <v>5447.86</v>
      </c>
      <c r="N25">
        <v>388.57</v>
      </c>
      <c r="O25">
        <v>564.14</v>
      </c>
      <c r="P25">
        <v>417.43</v>
      </c>
      <c r="Q25">
        <v>14.43</v>
      </c>
      <c r="R25">
        <v>53.86</v>
      </c>
      <c r="S25">
        <v>138.57</v>
      </c>
      <c r="T25">
        <v>418.71</v>
      </c>
      <c r="U25">
        <v>833.57</v>
      </c>
      <c r="V25">
        <v>8.0059999999999992E-3</v>
      </c>
      <c r="W25">
        <v>2021</v>
      </c>
      <c r="X25" t="s">
        <v>33</v>
      </c>
      <c r="Y25" t="s">
        <v>34</v>
      </c>
    </row>
    <row r="26" spans="1:25" x14ac:dyDescent="0.25">
      <c r="A26" t="s">
        <v>105</v>
      </c>
      <c r="B26" t="s">
        <v>106</v>
      </c>
      <c r="C26" t="s">
        <v>107</v>
      </c>
      <c r="D26" t="s">
        <v>62</v>
      </c>
      <c r="E26" t="s">
        <v>31</v>
      </c>
      <c r="F26" t="s">
        <v>32</v>
      </c>
      <c r="G26">
        <v>31.740898000000001</v>
      </c>
      <c r="H26">
        <v>-0.27113599999999999</v>
      </c>
      <c r="I26">
        <v>0</v>
      </c>
      <c r="J26">
        <v>8230.2900000000009</v>
      </c>
      <c r="K26">
        <v>2691.29</v>
      </c>
      <c r="L26">
        <v>167.86</v>
      </c>
      <c r="M26">
        <v>5539</v>
      </c>
      <c r="N26">
        <v>1220.57</v>
      </c>
      <c r="O26">
        <v>741.57</v>
      </c>
      <c r="P26">
        <v>155.29</v>
      </c>
      <c r="Q26">
        <v>34.57</v>
      </c>
      <c r="R26">
        <v>1</v>
      </c>
      <c r="S26">
        <v>203</v>
      </c>
      <c r="T26">
        <v>241</v>
      </c>
      <c r="U26">
        <v>94.29</v>
      </c>
      <c r="V26">
        <v>7.9609999999999993E-3</v>
      </c>
      <c r="W26">
        <v>2021</v>
      </c>
      <c r="X26" t="s">
        <v>33</v>
      </c>
      <c r="Y26" t="s">
        <v>34</v>
      </c>
    </row>
    <row r="27" spans="1:25" x14ac:dyDescent="0.25">
      <c r="A27" t="s">
        <v>108</v>
      </c>
      <c r="B27" t="s">
        <v>109</v>
      </c>
      <c r="C27" t="s">
        <v>110</v>
      </c>
      <c r="D27" t="s">
        <v>111</v>
      </c>
      <c r="E27" t="s">
        <v>112</v>
      </c>
      <c r="F27" t="s">
        <v>32</v>
      </c>
      <c r="G27">
        <v>30.650749999999999</v>
      </c>
      <c r="H27">
        <v>0.95304500000000003</v>
      </c>
      <c r="I27">
        <v>7</v>
      </c>
      <c r="J27">
        <v>8153.14</v>
      </c>
      <c r="K27">
        <v>1334.71</v>
      </c>
      <c r="L27">
        <v>2096</v>
      </c>
      <c r="M27">
        <v>6818.43</v>
      </c>
      <c r="N27">
        <v>511.71</v>
      </c>
      <c r="O27">
        <v>448.29</v>
      </c>
      <c r="P27">
        <v>107.71</v>
      </c>
      <c r="Q27">
        <v>12.86</v>
      </c>
      <c r="R27">
        <v>10.29</v>
      </c>
      <c r="S27">
        <v>99.71</v>
      </c>
      <c r="T27">
        <v>120.14</v>
      </c>
      <c r="U27">
        <v>24</v>
      </c>
      <c r="V27">
        <v>7.8860000000000006E-3</v>
      </c>
      <c r="W27">
        <v>2021</v>
      </c>
      <c r="X27" t="s">
        <v>33</v>
      </c>
      <c r="Y27" t="s">
        <v>34</v>
      </c>
    </row>
    <row r="28" spans="1:25" x14ac:dyDescent="0.25">
      <c r="A28" t="s">
        <v>113</v>
      </c>
      <c r="B28" t="s">
        <v>114</v>
      </c>
      <c r="C28" t="s">
        <v>115</v>
      </c>
      <c r="D28" t="s">
        <v>69</v>
      </c>
      <c r="E28" t="s">
        <v>31</v>
      </c>
      <c r="F28" t="s">
        <v>32</v>
      </c>
      <c r="G28">
        <v>32.468460999999998</v>
      </c>
      <c r="H28">
        <v>0.50390400000000002</v>
      </c>
      <c r="I28">
        <v>0</v>
      </c>
      <c r="J28">
        <v>8141</v>
      </c>
      <c r="K28">
        <v>2555</v>
      </c>
      <c r="L28">
        <v>78.14</v>
      </c>
      <c r="M28">
        <v>5586</v>
      </c>
      <c r="N28">
        <v>722.57</v>
      </c>
      <c r="O28">
        <v>645</v>
      </c>
      <c r="P28">
        <v>513.14</v>
      </c>
      <c r="Q28">
        <v>7.43</v>
      </c>
      <c r="R28">
        <v>1.29</v>
      </c>
      <c r="S28">
        <v>283.86</v>
      </c>
      <c r="T28">
        <v>199.57</v>
      </c>
      <c r="U28">
        <v>182.14</v>
      </c>
      <c r="V28">
        <v>7.8740000000000008E-3</v>
      </c>
      <c r="W28">
        <v>2021</v>
      </c>
      <c r="X28" t="s">
        <v>33</v>
      </c>
      <c r="Y28" t="s">
        <v>34</v>
      </c>
    </row>
    <row r="29" spans="1:25" x14ac:dyDescent="0.25">
      <c r="A29" t="s">
        <v>116</v>
      </c>
      <c r="B29" t="s">
        <v>117</v>
      </c>
      <c r="C29" t="s">
        <v>118</v>
      </c>
      <c r="D29" t="s">
        <v>62</v>
      </c>
      <c r="E29" t="s">
        <v>31</v>
      </c>
      <c r="F29" t="s">
        <v>32</v>
      </c>
      <c r="G29">
        <v>31.434408000000001</v>
      </c>
      <c r="H29">
        <v>-0.39342100000000002</v>
      </c>
      <c r="I29">
        <v>0</v>
      </c>
      <c r="J29">
        <v>7689</v>
      </c>
      <c r="K29">
        <v>5122.1400000000003</v>
      </c>
      <c r="L29">
        <v>101.86</v>
      </c>
      <c r="M29">
        <v>2566.86</v>
      </c>
      <c r="N29">
        <v>1378.57</v>
      </c>
      <c r="O29">
        <v>1261.43</v>
      </c>
      <c r="P29">
        <v>627</v>
      </c>
      <c r="Q29">
        <v>28</v>
      </c>
      <c r="R29">
        <v>235.43</v>
      </c>
      <c r="S29">
        <v>252.86</v>
      </c>
      <c r="T29">
        <v>819</v>
      </c>
      <c r="U29">
        <v>519.86</v>
      </c>
      <c r="V29">
        <v>7.437E-3</v>
      </c>
      <c r="W29">
        <v>2021</v>
      </c>
      <c r="X29" t="s">
        <v>33</v>
      </c>
      <c r="Y29" t="s">
        <v>34</v>
      </c>
    </row>
    <row r="30" spans="1:25" x14ac:dyDescent="0.25">
      <c r="A30" t="s">
        <v>119</v>
      </c>
      <c r="B30" t="s">
        <v>120</v>
      </c>
      <c r="C30" t="s">
        <v>121</v>
      </c>
      <c r="D30" t="s">
        <v>52</v>
      </c>
      <c r="E30" t="s">
        <v>31</v>
      </c>
      <c r="F30" t="s">
        <v>32</v>
      </c>
      <c r="G30">
        <v>32.144412000000003</v>
      </c>
      <c r="H30">
        <v>0.38273000000000001</v>
      </c>
      <c r="I30">
        <v>0</v>
      </c>
      <c r="J30">
        <v>7627.43</v>
      </c>
      <c r="K30">
        <v>4847.8599999999997</v>
      </c>
      <c r="L30">
        <v>25.57</v>
      </c>
      <c r="M30">
        <v>2779.57</v>
      </c>
      <c r="N30">
        <v>968</v>
      </c>
      <c r="O30">
        <v>1269.43</v>
      </c>
      <c r="P30">
        <v>1213</v>
      </c>
      <c r="Q30">
        <v>26.29</v>
      </c>
      <c r="R30">
        <v>63.43</v>
      </c>
      <c r="S30">
        <v>373.43</v>
      </c>
      <c r="T30">
        <v>570</v>
      </c>
      <c r="U30">
        <v>364.29</v>
      </c>
      <c r="V30">
        <v>7.378E-3</v>
      </c>
      <c r="W30">
        <v>2021</v>
      </c>
      <c r="X30" t="s">
        <v>33</v>
      </c>
      <c r="Y30" t="s">
        <v>34</v>
      </c>
    </row>
    <row r="31" spans="1:25" x14ac:dyDescent="0.25">
      <c r="A31" t="s">
        <v>122</v>
      </c>
      <c r="B31" t="s">
        <v>123</v>
      </c>
      <c r="C31" t="s">
        <v>124</v>
      </c>
      <c r="D31" t="s">
        <v>125</v>
      </c>
      <c r="E31" t="s">
        <v>126</v>
      </c>
      <c r="F31" t="s">
        <v>32</v>
      </c>
      <c r="G31">
        <v>33.934100000000001</v>
      </c>
      <c r="H31">
        <v>1.48769</v>
      </c>
      <c r="I31">
        <v>7</v>
      </c>
      <c r="J31">
        <v>7364.57</v>
      </c>
      <c r="K31">
        <v>3412.29</v>
      </c>
      <c r="L31">
        <v>2893.43</v>
      </c>
      <c r="M31">
        <v>3952.29</v>
      </c>
      <c r="N31">
        <v>1061.71</v>
      </c>
      <c r="O31">
        <v>927</v>
      </c>
      <c r="P31">
        <v>422.14</v>
      </c>
      <c r="Q31">
        <v>134.71</v>
      </c>
      <c r="R31">
        <v>47.43</v>
      </c>
      <c r="S31">
        <v>335.29</v>
      </c>
      <c r="T31">
        <v>264.86</v>
      </c>
      <c r="U31">
        <v>219.14</v>
      </c>
      <c r="V31">
        <v>7.123E-3</v>
      </c>
      <c r="W31">
        <v>2021</v>
      </c>
      <c r="X31" t="s">
        <v>33</v>
      </c>
      <c r="Y31" t="s">
        <v>34</v>
      </c>
    </row>
    <row r="32" spans="1:25" x14ac:dyDescent="0.25">
      <c r="A32" t="s">
        <v>127</v>
      </c>
      <c r="B32" t="s">
        <v>128</v>
      </c>
      <c r="C32" t="s">
        <v>129</v>
      </c>
      <c r="D32" t="s">
        <v>95</v>
      </c>
      <c r="E32" t="s">
        <v>96</v>
      </c>
      <c r="F32" t="s">
        <v>32</v>
      </c>
      <c r="G32">
        <v>33.155254999999997</v>
      </c>
      <c r="H32">
        <v>0.52259599999999995</v>
      </c>
      <c r="I32">
        <v>7</v>
      </c>
      <c r="J32">
        <v>7157.29</v>
      </c>
      <c r="K32">
        <v>2493.4299999999998</v>
      </c>
      <c r="L32">
        <v>109.43</v>
      </c>
      <c r="M32">
        <v>4663.8599999999997</v>
      </c>
      <c r="N32">
        <v>377.43</v>
      </c>
      <c r="O32">
        <v>839.57</v>
      </c>
      <c r="P32">
        <v>462.14</v>
      </c>
      <c r="Q32">
        <v>11.71</v>
      </c>
      <c r="R32">
        <v>4</v>
      </c>
      <c r="S32">
        <v>211</v>
      </c>
      <c r="T32">
        <v>208.71</v>
      </c>
      <c r="U32">
        <v>378.86</v>
      </c>
      <c r="V32">
        <v>6.9230000000000003E-3</v>
      </c>
      <c r="W32">
        <v>2021</v>
      </c>
      <c r="X32" t="s">
        <v>33</v>
      </c>
      <c r="Y32" t="s">
        <v>34</v>
      </c>
    </row>
    <row r="33" spans="1:25" x14ac:dyDescent="0.25">
      <c r="A33" t="s">
        <v>130</v>
      </c>
      <c r="B33" t="s">
        <v>131</v>
      </c>
      <c r="C33" t="s">
        <v>132</v>
      </c>
      <c r="D33" t="s">
        <v>73</v>
      </c>
      <c r="E33" t="s">
        <v>31</v>
      </c>
      <c r="F33" t="s">
        <v>32</v>
      </c>
      <c r="G33">
        <v>31.987974000000001</v>
      </c>
      <c r="H33">
        <v>0.416103</v>
      </c>
      <c r="I33">
        <v>0</v>
      </c>
      <c r="J33">
        <v>6950.57</v>
      </c>
      <c r="K33">
        <v>3675.57</v>
      </c>
      <c r="L33">
        <v>175.86</v>
      </c>
      <c r="M33">
        <v>3275</v>
      </c>
      <c r="N33">
        <v>910.57</v>
      </c>
      <c r="O33">
        <v>660.29</v>
      </c>
      <c r="P33">
        <v>756.43</v>
      </c>
      <c r="Q33">
        <v>23.14</v>
      </c>
      <c r="R33">
        <v>62</v>
      </c>
      <c r="S33">
        <v>323.43</v>
      </c>
      <c r="T33">
        <v>660.86</v>
      </c>
      <c r="U33">
        <v>278.86</v>
      </c>
      <c r="V33">
        <v>6.7229999999999998E-3</v>
      </c>
      <c r="W33">
        <v>2021</v>
      </c>
      <c r="X33" t="s">
        <v>33</v>
      </c>
      <c r="Y33" t="s">
        <v>34</v>
      </c>
    </row>
    <row r="34" spans="1:25" x14ac:dyDescent="0.25">
      <c r="A34" t="s">
        <v>133</v>
      </c>
      <c r="B34" t="s">
        <v>134</v>
      </c>
      <c r="C34" t="s">
        <v>135</v>
      </c>
      <c r="D34" t="s">
        <v>30</v>
      </c>
      <c r="E34" t="s">
        <v>31</v>
      </c>
      <c r="F34" t="s">
        <v>32</v>
      </c>
      <c r="G34">
        <v>32.674404000000003</v>
      </c>
      <c r="H34">
        <v>0.349804</v>
      </c>
      <c r="I34">
        <v>0</v>
      </c>
      <c r="J34">
        <v>6758.43</v>
      </c>
      <c r="K34">
        <v>3572</v>
      </c>
      <c r="L34">
        <v>165</v>
      </c>
      <c r="M34">
        <v>3186.43</v>
      </c>
      <c r="N34">
        <v>1013.57</v>
      </c>
      <c r="O34">
        <v>1110.29</v>
      </c>
      <c r="P34">
        <v>202.86</v>
      </c>
      <c r="Q34">
        <v>42.71</v>
      </c>
      <c r="R34">
        <v>16.29</v>
      </c>
      <c r="S34">
        <v>292.43</v>
      </c>
      <c r="T34">
        <v>387.71</v>
      </c>
      <c r="U34">
        <v>506.14</v>
      </c>
      <c r="V34">
        <v>6.5370000000000003E-3</v>
      </c>
      <c r="W34">
        <v>2021</v>
      </c>
      <c r="X34" t="s">
        <v>33</v>
      </c>
      <c r="Y34" t="s">
        <v>34</v>
      </c>
    </row>
    <row r="35" spans="1:25" x14ac:dyDescent="0.25">
      <c r="A35" t="s">
        <v>136</v>
      </c>
      <c r="B35" t="s">
        <v>137</v>
      </c>
      <c r="C35" t="s">
        <v>138</v>
      </c>
      <c r="D35" t="s">
        <v>69</v>
      </c>
      <c r="E35" t="s">
        <v>31</v>
      </c>
      <c r="F35" t="s">
        <v>32</v>
      </c>
      <c r="G35">
        <v>32.467193999999999</v>
      </c>
      <c r="H35">
        <v>1.0487770000000001</v>
      </c>
      <c r="I35">
        <v>0</v>
      </c>
      <c r="J35">
        <v>6667.43</v>
      </c>
      <c r="K35">
        <v>4055</v>
      </c>
      <c r="L35">
        <v>241.71</v>
      </c>
      <c r="M35">
        <v>2612.4299999999998</v>
      </c>
      <c r="N35">
        <v>844.29</v>
      </c>
      <c r="O35">
        <v>1010.86</v>
      </c>
      <c r="P35">
        <v>805.86</v>
      </c>
      <c r="Q35">
        <v>29.71</v>
      </c>
      <c r="R35">
        <v>119.71</v>
      </c>
      <c r="S35">
        <v>596.14</v>
      </c>
      <c r="T35">
        <v>478.29</v>
      </c>
      <c r="U35">
        <v>170.14</v>
      </c>
      <c r="V35">
        <v>6.4489999999999999E-3</v>
      </c>
      <c r="W35">
        <v>2021</v>
      </c>
      <c r="X35" t="s">
        <v>33</v>
      </c>
      <c r="Y35" t="s">
        <v>34</v>
      </c>
    </row>
    <row r="36" spans="1:25" x14ac:dyDescent="0.25">
      <c r="A36" t="s">
        <v>139</v>
      </c>
      <c r="B36" t="s">
        <v>140</v>
      </c>
      <c r="C36" t="s">
        <v>141</v>
      </c>
      <c r="D36" t="s">
        <v>142</v>
      </c>
      <c r="E36" t="s">
        <v>48</v>
      </c>
      <c r="F36" t="s">
        <v>32</v>
      </c>
      <c r="G36">
        <v>32.378132999999998</v>
      </c>
      <c r="H36">
        <v>2.4608530000000002</v>
      </c>
      <c r="I36">
        <v>7</v>
      </c>
      <c r="J36">
        <v>6336.29</v>
      </c>
      <c r="K36">
        <v>2671.29</v>
      </c>
      <c r="L36">
        <v>338.29</v>
      </c>
      <c r="M36">
        <v>3665</v>
      </c>
      <c r="N36">
        <v>463.86</v>
      </c>
      <c r="O36">
        <v>213.29</v>
      </c>
      <c r="P36">
        <v>236.43</v>
      </c>
      <c r="Q36">
        <v>3.29</v>
      </c>
      <c r="R36">
        <v>12.43</v>
      </c>
      <c r="S36">
        <v>80.14</v>
      </c>
      <c r="T36">
        <v>127.86</v>
      </c>
      <c r="U36">
        <v>1534</v>
      </c>
      <c r="V36">
        <v>6.1289999999999999E-3</v>
      </c>
      <c r="W36">
        <v>2021</v>
      </c>
      <c r="X36" t="s">
        <v>33</v>
      </c>
      <c r="Y36" t="s">
        <v>34</v>
      </c>
    </row>
    <row r="37" spans="1:25" x14ac:dyDescent="0.25">
      <c r="A37" t="s">
        <v>143</v>
      </c>
      <c r="B37" t="s">
        <v>144</v>
      </c>
      <c r="C37" t="s">
        <v>145</v>
      </c>
      <c r="D37" t="s">
        <v>146</v>
      </c>
      <c r="E37" t="s">
        <v>48</v>
      </c>
      <c r="F37" t="s">
        <v>32</v>
      </c>
      <c r="G37">
        <v>32.935763000000001</v>
      </c>
      <c r="H37">
        <v>2.4811730000000001</v>
      </c>
      <c r="I37">
        <v>7</v>
      </c>
      <c r="J37">
        <v>6264.14</v>
      </c>
      <c r="K37">
        <v>2779.71</v>
      </c>
      <c r="L37">
        <v>596.71</v>
      </c>
      <c r="M37">
        <v>3484.43</v>
      </c>
      <c r="N37">
        <v>562.86</v>
      </c>
      <c r="O37">
        <v>597.42999999999995</v>
      </c>
      <c r="P37">
        <v>844.57</v>
      </c>
      <c r="Q37">
        <v>50.29</v>
      </c>
      <c r="R37">
        <v>104.57</v>
      </c>
      <c r="S37">
        <v>247.14</v>
      </c>
      <c r="T37">
        <v>211.71</v>
      </c>
      <c r="U37">
        <v>161.13999999999999</v>
      </c>
      <c r="V37">
        <v>6.0590000000000001E-3</v>
      </c>
      <c r="W37">
        <v>2021</v>
      </c>
      <c r="X37" t="s">
        <v>33</v>
      </c>
      <c r="Y37" t="s">
        <v>34</v>
      </c>
    </row>
    <row r="38" spans="1:25" x14ac:dyDescent="0.25">
      <c r="A38" t="s">
        <v>147</v>
      </c>
      <c r="B38" t="s">
        <v>148</v>
      </c>
      <c r="C38" t="s">
        <v>149</v>
      </c>
      <c r="D38" t="s">
        <v>146</v>
      </c>
      <c r="E38" t="s">
        <v>48</v>
      </c>
      <c r="F38" t="s">
        <v>32</v>
      </c>
      <c r="G38">
        <v>32.697394000000003</v>
      </c>
      <c r="H38">
        <v>1.6578520000000001</v>
      </c>
      <c r="I38">
        <v>7</v>
      </c>
      <c r="J38">
        <v>5654.43</v>
      </c>
      <c r="K38">
        <v>1434</v>
      </c>
      <c r="L38">
        <v>93.86</v>
      </c>
      <c r="M38">
        <v>4220.43</v>
      </c>
      <c r="N38">
        <v>301.14</v>
      </c>
      <c r="O38">
        <v>334.29</v>
      </c>
      <c r="P38">
        <v>300.70999999999998</v>
      </c>
      <c r="Q38">
        <v>7.57</v>
      </c>
      <c r="R38">
        <v>54.43</v>
      </c>
      <c r="S38">
        <v>98.29</v>
      </c>
      <c r="T38">
        <v>215.71</v>
      </c>
      <c r="U38">
        <v>121.86</v>
      </c>
      <c r="V38">
        <v>5.4689999999999999E-3</v>
      </c>
      <c r="W38">
        <v>2021</v>
      </c>
      <c r="X38" t="s">
        <v>33</v>
      </c>
      <c r="Y38" t="s">
        <v>34</v>
      </c>
    </row>
    <row r="39" spans="1:25" x14ac:dyDescent="0.25">
      <c r="A39" t="s">
        <v>150</v>
      </c>
      <c r="B39" t="s">
        <v>151</v>
      </c>
      <c r="C39" t="s">
        <v>152</v>
      </c>
      <c r="D39" t="s">
        <v>153</v>
      </c>
      <c r="E39" t="s">
        <v>96</v>
      </c>
      <c r="F39" t="s">
        <v>32</v>
      </c>
      <c r="G39">
        <v>34.044243999999999</v>
      </c>
      <c r="H39">
        <v>0.759378</v>
      </c>
      <c r="I39">
        <v>7</v>
      </c>
      <c r="J39">
        <v>5516.71</v>
      </c>
      <c r="K39">
        <v>1083.43</v>
      </c>
      <c r="L39">
        <v>571</v>
      </c>
      <c r="M39">
        <v>4433.29</v>
      </c>
      <c r="N39">
        <v>142.57</v>
      </c>
      <c r="O39">
        <v>463.57</v>
      </c>
      <c r="P39">
        <v>131.57</v>
      </c>
      <c r="Q39">
        <v>22.14</v>
      </c>
      <c r="R39">
        <v>29.57</v>
      </c>
      <c r="S39">
        <v>101.14</v>
      </c>
      <c r="T39">
        <v>165.43</v>
      </c>
      <c r="U39">
        <v>27.43</v>
      </c>
      <c r="V39">
        <v>5.3359999999999996E-3</v>
      </c>
      <c r="W39">
        <v>2021</v>
      </c>
      <c r="X39" t="s">
        <v>33</v>
      </c>
      <c r="Y39" t="s">
        <v>34</v>
      </c>
    </row>
    <row r="40" spans="1:25" x14ac:dyDescent="0.25">
      <c r="A40" t="s">
        <v>154</v>
      </c>
      <c r="B40" t="s">
        <v>155</v>
      </c>
      <c r="C40" t="s">
        <v>156</v>
      </c>
      <c r="D40" t="s">
        <v>157</v>
      </c>
      <c r="E40" t="s">
        <v>48</v>
      </c>
      <c r="F40" t="s">
        <v>32</v>
      </c>
      <c r="G40">
        <v>33.222132000000002</v>
      </c>
      <c r="H40">
        <v>3.273647</v>
      </c>
      <c r="I40">
        <v>7</v>
      </c>
      <c r="J40">
        <v>5501.86</v>
      </c>
      <c r="K40">
        <v>2536.71</v>
      </c>
      <c r="L40">
        <v>124.14</v>
      </c>
      <c r="M40">
        <v>2965.14</v>
      </c>
      <c r="N40">
        <v>469.29</v>
      </c>
      <c r="O40">
        <v>339.29</v>
      </c>
      <c r="P40">
        <v>379.71</v>
      </c>
      <c r="Q40">
        <v>11.57</v>
      </c>
      <c r="R40">
        <v>24.43</v>
      </c>
      <c r="S40">
        <v>131</v>
      </c>
      <c r="T40">
        <v>353</v>
      </c>
      <c r="U40">
        <v>828.43</v>
      </c>
      <c r="V40">
        <v>5.3220000000000003E-3</v>
      </c>
      <c r="W40">
        <v>2021</v>
      </c>
      <c r="X40" t="s">
        <v>33</v>
      </c>
      <c r="Y40" t="s">
        <v>34</v>
      </c>
    </row>
    <row r="41" spans="1:25" x14ac:dyDescent="0.25">
      <c r="A41" t="s">
        <v>158</v>
      </c>
      <c r="B41" t="s">
        <v>159</v>
      </c>
      <c r="C41" t="s">
        <v>160</v>
      </c>
      <c r="D41" t="s">
        <v>161</v>
      </c>
      <c r="E41" t="s">
        <v>96</v>
      </c>
      <c r="F41" t="s">
        <v>32</v>
      </c>
      <c r="G41">
        <v>34.092469999999999</v>
      </c>
      <c r="H41">
        <v>1.440615</v>
      </c>
      <c r="I41">
        <v>7</v>
      </c>
      <c r="J41">
        <v>5472.29</v>
      </c>
      <c r="K41">
        <v>2305.86</v>
      </c>
      <c r="L41">
        <v>1754.14</v>
      </c>
      <c r="M41">
        <v>3166.43</v>
      </c>
      <c r="N41">
        <v>253.14</v>
      </c>
      <c r="O41">
        <v>206.71</v>
      </c>
      <c r="P41">
        <v>513.86</v>
      </c>
      <c r="Q41">
        <v>4.1399999999999997</v>
      </c>
      <c r="R41">
        <v>14</v>
      </c>
      <c r="S41">
        <v>171.71</v>
      </c>
      <c r="T41">
        <v>341.29</v>
      </c>
      <c r="U41">
        <v>801</v>
      </c>
      <c r="V41">
        <v>5.293E-3</v>
      </c>
      <c r="W41">
        <v>2021</v>
      </c>
      <c r="X41" t="s">
        <v>33</v>
      </c>
      <c r="Y41" t="s">
        <v>34</v>
      </c>
    </row>
    <row r="42" spans="1:25" x14ac:dyDescent="0.25">
      <c r="A42" t="s">
        <v>162</v>
      </c>
      <c r="B42" t="s">
        <v>163</v>
      </c>
      <c r="C42" t="s">
        <v>164</v>
      </c>
      <c r="D42" t="s">
        <v>165</v>
      </c>
      <c r="E42" t="s">
        <v>166</v>
      </c>
      <c r="F42" t="s">
        <v>32</v>
      </c>
      <c r="G42">
        <v>30.180743</v>
      </c>
      <c r="H42">
        <v>0.30169499999999999</v>
      </c>
      <c r="I42">
        <v>8</v>
      </c>
      <c r="J42">
        <v>5403.57</v>
      </c>
      <c r="K42">
        <v>561.71</v>
      </c>
      <c r="L42">
        <v>499.57</v>
      </c>
      <c r="M42">
        <v>4841.8599999999997</v>
      </c>
      <c r="N42">
        <v>194.71</v>
      </c>
      <c r="O42">
        <v>126.14</v>
      </c>
      <c r="P42">
        <v>59.43</v>
      </c>
      <c r="Q42">
        <v>2.57</v>
      </c>
      <c r="R42">
        <v>1.29</v>
      </c>
      <c r="S42">
        <v>114.86</v>
      </c>
      <c r="T42">
        <v>41.43</v>
      </c>
      <c r="U42">
        <v>21.29</v>
      </c>
      <c r="V42">
        <v>5.2269999999999999E-3</v>
      </c>
      <c r="W42">
        <v>2021</v>
      </c>
      <c r="X42" t="s">
        <v>33</v>
      </c>
      <c r="Y42" t="s">
        <v>34</v>
      </c>
    </row>
    <row r="43" spans="1:25" x14ac:dyDescent="0.25">
      <c r="A43" t="s">
        <v>167</v>
      </c>
      <c r="B43" t="s">
        <v>168</v>
      </c>
      <c r="C43" t="s">
        <v>169</v>
      </c>
      <c r="D43" t="s">
        <v>170</v>
      </c>
      <c r="E43" t="s">
        <v>166</v>
      </c>
      <c r="F43" t="s">
        <v>32</v>
      </c>
      <c r="G43">
        <v>29.773471000000001</v>
      </c>
      <c r="H43">
        <v>-0.69487299999999996</v>
      </c>
      <c r="I43">
        <v>7</v>
      </c>
      <c r="J43">
        <v>5403.29</v>
      </c>
      <c r="K43">
        <v>1140.71</v>
      </c>
      <c r="L43">
        <v>213.71</v>
      </c>
      <c r="M43">
        <v>4262.57</v>
      </c>
      <c r="N43">
        <v>362.29</v>
      </c>
      <c r="O43">
        <v>242.29</v>
      </c>
      <c r="P43">
        <v>169.29</v>
      </c>
      <c r="Q43">
        <v>11.29</v>
      </c>
      <c r="R43">
        <v>3</v>
      </c>
      <c r="S43">
        <v>123.29</v>
      </c>
      <c r="T43">
        <v>207.57</v>
      </c>
      <c r="U43">
        <v>21.71</v>
      </c>
      <c r="V43">
        <v>5.2259999999999997E-3</v>
      </c>
      <c r="W43">
        <v>2021</v>
      </c>
      <c r="X43" t="s">
        <v>33</v>
      </c>
      <c r="Y43" t="s">
        <v>34</v>
      </c>
    </row>
    <row r="44" spans="1:25" x14ac:dyDescent="0.25">
      <c r="A44" t="s">
        <v>171</v>
      </c>
      <c r="B44" t="s">
        <v>172</v>
      </c>
      <c r="C44" t="s">
        <v>173</v>
      </c>
      <c r="D44" t="s">
        <v>52</v>
      </c>
      <c r="E44" t="s">
        <v>31</v>
      </c>
      <c r="F44" t="s">
        <v>32</v>
      </c>
      <c r="G44">
        <v>32.375647000000001</v>
      </c>
      <c r="H44">
        <v>0.28886299999999998</v>
      </c>
      <c r="I44">
        <v>0</v>
      </c>
      <c r="J44">
        <v>5300.29</v>
      </c>
      <c r="K44">
        <v>1673.71</v>
      </c>
      <c r="L44">
        <v>98.71</v>
      </c>
      <c r="M44">
        <v>3626.57</v>
      </c>
      <c r="N44">
        <v>403.29</v>
      </c>
      <c r="O44">
        <v>423.71</v>
      </c>
      <c r="P44">
        <v>79.709999999999994</v>
      </c>
      <c r="Q44">
        <v>14.14</v>
      </c>
      <c r="R44">
        <v>3</v>
      </c>
      <c r="S44">
        <v>250</v>
      </c>
      <c r="T44">
        <v>474.71</v>
      </c>
      <c r="U44">
        <v>25.14</v>
      </c>
      <c r="V44">
        <v>5.1269999999999996E-3</v>
      </c>
      <c r="W44">
        <v>2021</v>
      </c>
      <c r="X44" t="s">
        <v>33</v>
      </c>
      <c r="Y44" t="s">
        <v>34</v>
      </c>
    </row>
    <row r="45" spans="1:25" x14ac:dyDescent="0.25">
      <c r="A45" t="s">
        <v>174</v>
      </c>
      <c r="B45" t="s">
        <v>175</v>
      </c>
      <c r="C45" t="s">
        <v>176</v>
      </c>
      <c r="D45" t="s">
        <v>170</v>
      </c>
      <c r="E45" t="s">
        <v>166</v>
      </c>
      <c r="F45" t="s">
        <v>32</v>
      </c>
      <c r="G45">
        <v>30.014301</v>
      </c>
      <c r="H45">
        <v>-0.69609399999999999</v>
      </c>
      <c r="I45">
        <v>7</v>
      </c>
      <c r="J45">
        <v>5288.14</v>
      </c>
      <c r="K45">
        <v>3270.71</v>
      </c>
      <c r="L45">
        <v>203.71</v>
      </c>
      <c r="M45">
        <v>2017.43</v>
      </c>
      <c r="N45">
        <v>836.14</v>
      </c>
      <c r="O45">
        <v>652.57000000000005</v>
      </c>
      <c r="P45">
        <v>687.86</v>
      </c>
      <c r="Q45">
        <v>102</v>
      </c>
      <c r="R45">
        <v>0</v>
      </c>
      <c r="S45">
        <v>536.71</v>
      </c>
      <c r="T45">
        <v>419.71</v>
      </c>
      <c r="U45">
        <v>35.71</v>
      </c>
      <c r="V45">
        <v>5.1149999999999998E-3</v>
      </c>
      <c r="W45">
        <v>2021</v>
      </c>
      <c r="X45" t="s">
        <v>33</v>
      </c>
      <c r="Y45" t="s">
        <v>34</v>
      </c>
    </row>
    <row r="46" spans="1:25" x14ac:dyDescent="0.25">
      <c r="A46" t="s">
        <v>177</v>
      </c>
      <c r="B46" t="s">
        <v>178</v>
      </c>
      <c r="C46" t="s">
        <v>179</v>
      </c>
      <c r="D46" t="s">
        <v>52</v>
      </c>
      <c r="E46" t="s">
        <v>31</v>
      </c>
      <c r="F46" t="s">
        <v>32</v>
      </c>
      <c r="G46">
        <v>32.116242</v>
      </c>
      <c r="H46">
        <v>0.18093600000000001</v>
      </c>
      <c r="I46">
        <v>0</v>
      </c>
      <c r="J46">
        <v>5271.86</v>
      </c>
      <c r="K46">
        <v>1771.71</v>
      </c>
      <c r="L46">
        <v>107.14</v>
      </c>
      <c r="M46">
        <v>3500.14</v>
      </c>
      <c r="N46">
        <v>498.14</v>
      </c>
      <c r="O46">
        <v>352.86</v>
      </c>
      <c r="P46">
        <v>441</v>
      </c>
      <c r="Q46">
        <v>9.14</v>
      </c>
      <c r="R46">
        <v>1.43</v>
      </c>
      <c r="S46">
        <v>270.14</v>
      </c>
      <c r="T46">
        <v>183.29</v>
      </c>
      <c r="U46">
        <v>15.71</v>
      </c>
      <c r="V46">
        <v>5.0990000000000002E-3</v>
      </c>
      <c r="W46">
        <v>2021</v>
      </c>
      <c r="X46" t="s">
        <v>33</v>
      </c>
      <c r="Y46" t="s">
        <v>34</v>
      </c>
    </row>
    <row r="47" spans="1:25" x14ac:dyDescent="0.25">
      <c r="A47" t="s">
        <v>180</v>
      </c>
      <c r="B47" t="s">
        <v>181</v>
      </c>
      <c r="C47" t="s">
        <v>182</v>
      </c>
      <c r="D47" t="s">
        <v>47</v>
      </c>
      <c r="E47" t="s">
        <v>48</v>
      </c>
      <c r="F47" t="s">
        <v>32</v>
      </c>
      <c r="G47">
        <v>30.889241999999999</v>
      </c>
      <c r="H47">
        <v>2.9264350000000001</v>
      </c>
      <c r="I47">
        <v>7</v>
      </c>
      <c r="J47">
        <v>5078.1400000000003</v>
      </c>
      <c r="K47">
        <v>1701</v>
      </c>
      <c r="L47">
        <v>245.57</v>
      </c>
      <c r="M47">
        <v>3377.14</v>
      </c>
      <c r="N47">
        <v>334</v>
      </c>
      <c r="O47">
        <v>377.86</v>
      </c>
      <c r="P47">
        <v>87.43</v>
      </c>
      <c r="Q47">
        <v>20.71</v>
      </c>
      <c r="R47">
        <v>54</v>
      </c>
      <c r="S47">
        <v>134.13999999999999</v>
      </c>
      <c r="T47">
        <v>302.70999999999998</v>
      </c>
      <c r="U47">
        <v>390.14</v>
      </c>
      <c r="V47">
        <v>4.9119999999999997E-3</v>
      </c>
      <c r="W47">
        <v>2021</v>
      </c>
      <c r="X47" t="s">
        <v>33</v>
      </c>
      <c r="Y47" t="s">
        <v>34</v>
      </c>
    </row>
    <row r="48" spans="1:25" x14ac:dyDescent="0.25">
      <c r="A48" t="s">
        <v>183</v>
      </c>
      <c r="B48" t="s">
        <v>184</v>
      </c>
      <c r="C48" t="s">
        <v>185</v>
      </c>
      <c r="D48" t="s">
        <v>153</v>
      </c>
      <c r="E48" t="s">
        <v>96</v>
      </c>
      <c r="F48" t="s">
        <v>32</v>
      </c>
      <c r="G48">
        <v>34.224040000000002</v>
      </c>
      <c r="H48">
        <v>0.76160499999999998</v>
      </c>
      <c r="I48">
        <v>7</v>
      </c>
      <c r="J48">
        <v>4971.57</v>
      </c>
      <c r="K48">
        <v>876</v>
      </c>
      <c r="L48">
        <v>386.14</v>
      </c>
      <c r="M48">
        <v>4095.57</v>
      </c>
      <c r="N48">
        <v>129.71</v>
      </c>
      <c r="O48">
        <v>344.86</v>
      </c>
      <c r="P48">
        <v>91.43</v>
      </c>
      <c r="Q48">
        <v>4</v>
      </c>
      <c r="R48">
        <v>14.86</v>
      </c>
      <c r="S48">
        <v>83.86</v>
      </c>
      <c r="T48">
        <v>182.71</v>
      </c>
      <c r="U48">
        <v>24.57</v>
      </c>
      <c r="V48">
        <v>4.8089999999999999E-3</v>
      </c>
      <c r="W48">
        <v>2021</v>
      </c>
      <c r="X48" t="s">
        <v>33</v>
      </c>
      <c r="Y48" t="s">
        <v>34</v>
      </c>
    </row>
    <row r="49" spans="1:25" x14ac:dyDescent="0.25">
      <c r="A49" t="s">
        <v>186</v>
      </c>
      <c r="B49" t="s">
        <v>187</v>
      </c>
      <c r="C49" t="s">
        <v>188</v>
      </c>
      <c r="D49" t="s">
        <v>52</v>
      </c>
      <c r="E49" t="s">
        <v>31</v>
      </c>
      <c r="F49" t="s">
        <v>32</v>
      </c>
      <c r="G49">
        <v>31.857702</v>
      </c>
      <c r="H49">
        <v>0.173679</v>
      </c>
      <c r="I49">
        <v>0</v>
      </c>
      <c r="J49">
        <v>4969.1400000000003</v>
      </c>
      <c r="K49">
        <v>1150.43</v>
      </c>
      <c r="L49">
        <v>115.57</v>
      </c>
      <c r="M49">
        <v>3818.71</v>
      </c>
      <c r="N49">
        <v>290.29000000000002</v>
      </c>
      <c r="O49">
        <v>221.29</v>
      </c>
      <c r="P49">
        <v>267.43</v>
      </c>
      <c r="Q49">
        <v>3.29</v>
      </c>
      <c r="R49">
        <v>0</v>
      </c>
      <c r="S49">
        <v>201.29</v>
      </c>
      <c r="T49">
        <v>158.57</v>
      </c>
      <c r="U49">
        <v>8.2899999999999991</v>
      </c>
      <c r="V49">
        <v>4.8060000000000004E-3</v>
      </c>
      <c r="W49">
        <v>2021</v>
      </c>
      <c r="X49" t="s">
        <v>33</v>
      </c>
      <c r="Y49" t="s">
        <v>34</v>
      </c>
    </row>
    <row r="50" spans="1:25" x14ac:dyDescent="0.25">
      <c r="A50" t="s">
        <v>189</v>
      </c>
      <c r="B50" t="s">
        <v>190</v>
      </c>
      <c r="C50" t="s">
        <v>191</v>
      </c>
      <c r="D50" t="s">
        <v>69</v>
      </c>
      <c r="E50" t="s">
        <v>31</v>
      </c>
      <c r="F50" t="s">
        <v>32</v>
      </c>
      <c r="G50">
        <v>32.645401</v>
      </c>
      <c r="H50">
        <v>0.83298099999999997</v>
      </c>
      <c r="I50">
        <v>0</v>
      </c>
      <c r="J50">
        <v>4961.29</v>
      </c>
      <c r="K50">
        <v>551.57000000000005</v>
      </c>
      <c r="L50">
        <v>492.86</v>
      </c>
      <c r="M50">
        <v>4409.71</v>
      </c>
      <c r="N50">
        <v>115.57</v>
      </c>
      <c r="O50">
        <v>118.43</v>
      </c>
      <c r="P50">
        <v>33.29</v>
      </c>
      <c r="Q50">
        <v>3.71</v>
      </c>
      <c r="R50">
        <v>0.71</v>
      </c>
      <c r="S50">
        <v>165.71</v>
      </c>
      <c r="T50">
        <v>111.57</v>
      </c>
      <c r="U50">
        <v>2.57</v>
      </c>
      <c r="V50">
        <v>4.7990000000000003E-3</v>
      </c>
      <c r="W50">
        <v>2021</v>
      </c>
      <c r="X50" t="s">
        <v>33</v>
      </c>
      <c r="Y50" t="s">
        <v>34</v>
      </c>
    </row>
    <row r="51" spans="1:25" x14ac:dyDescent="0.25">
      <c r="A51" t="s">
        <v>192</v>
      </c>
      <c r="B51" t="s">
        <v>193</v>
      </c>
      <c r="C51" t="s">
        <v>194</v>
      </c>
      <c r="D51" t="s">
        <v>73</v>
      </c>
      <c r="E51" t="s">
        <v>31</v>
      </c>
      <c r="F51" t="s">
        <v>32</v>
      </c>
      <c r="G51">
        <v>31.235609</v>
      </c>
      <c r="H51">
        <v>0.487317</v>
      </c>
      <c r="I51">
        <v>0</v>
      </c>
      <c r="J51">
        <v>4714.29</v>
      </c>
      <c r="K51">
        <v>2646.29</v>
      </c>
      <c r="L51">
        <v>53.29</v>
      </c>
      <c r="M51">
        <v>2068</v>
      </c>
      <c r="N51">
        <v>649.57000000000005</v>
      </c>
      <c r="O51">
        <v>523.42999999999995</v>
      </c>
      <c r="P51">
        <v>500.86</v>
      </c>
      <c r="Q51">
        <v>10.14</v>
      </c>
      <c r="R51">
        <v>71</v>
      </c>
      <c r="S51">
        <v>229.43</v>
      </c>
      <c r="T51">
        <v>441.14</v>
      </c>
      <c r="U51">
        <v>220.71</v>
      </c>
      <c r="V51">
        <v>4.5599999999999998E-3</v>
      </c>
      <c r="W51">
        <v>2021</v>
      </c>
      <c r="X51" t="s">
        <v>33</v>
      </c>
      <c r="Y51" t="s">
        <v>34</v>
      </c>
    </row>
    <row r="52" spans="1:25" x14ac:dyDescent="0.25">
      <c r="A52" t="s">
        <v>195</v>
      </c>
      <c r="B52" t="s">
        <v>196</v>
      </c>
      <c r="C52" t="s">
        <v>197</v>
      </c>
      <c r="D52" t="s">
        <v>95</v>
      </c>
      <c r="E52" t="s">
        <v>96</v>
      </c>
      <c r="F52" t="s">
        <v>32</v>
      </c>
      <c r="G52">
        <v>33.642046000000001</v>
      </c>
      <c r="H52">
        <v>0.68538299999999996</v>
      </c>
      <c r="I52">
        <v>8</v>
      </c>
      <c r="J52">
        <v>4630.43</v>
      </c>
      <c r="K52">
        <v>1533.14</v>
      </c>
      <c r="L52">
        <v>164.57</v>
      </c>
      <c r="M52">
        <v>3097.29</v>
      </c>
      <c r="N52">
        <v>217.29</v>
      </c>
      <c r="O52">
        <v>320</v>
      </c>
      <c r="P52">
        <v>366.71</v>
      </c>
      <c r="Q52">
        <v>4.57</v>
      </c>
      <c r="R52">
        <v>5.29</v>
      </c>
      <c r="S52">
        <v>96.71</v>
      </c>
      <c r="T52">
        <v>183.29</v>
      </c>
      <c r="U52">
        <v>339.29</v>
      </c>
      <c r="V52">
        <v>4.4790000000000003E-3</v>
      </c>
      <c r="W52">
        <v>2021</v>
      </c>
      <c r="X52" t="s">
        <v>33</v>
      </c>
      <c r="Y52" t="s">
        <v>34</v>
      </c>
    </row>
    <row r="53" spans="1:25" x14ac:dyDescent="0.25">
      <c r="A53" t="s">
        <v>198</v>
      </c>
      <c r="B53" t="s">
        <v>199</v>
      </c>
      <c r="C53" t="s">
        <v>200</v>
      </c>
      <c r="D53" t="s">
        <v>153</v>
      </c>
      <c r="E53" t="s">
        <v>96</v>
      </c>
      <c r="F53" t="s">
        <v>32</v>
      </c>
      <c r="G53">
        <v>34.083565999999998</v>
      </c>
      <c r="H53">
        <v>0.68501100000000004</v>
      </c>
      <c r="I53">
        <v>7</v>
      </c>
      <c r="J53">
        <v>4531.71</v>
      </c>
      <c r="K53">
        <v>1710.14</v>
      </c>
      <c r="L53">
        <v>497.57</v>
      </c>
      <c r="M53">
        <v>2821.57</v>
      </c>
      <c r="N53">
        <v>358.14</v>
      </c>
      <c r="O53">
        <v>357.86</v>
      </c>
      <c r="P53">
        <v>196.57</v>
      </c>
      <c r="Q53">
        <v>71.14</v>
      </c>
      <c r="R53">
        <v>81.569999999999993</v>
      </c>
      <c r="S53">
        <v>174.29</v>
      </c>
      <c r="T53">
        <v>240</v>
      </c>
      <c r="U53">
        <v>230.57</v>
      </c>
      <c r="V53">
        <v>4.3829999999999997E-3</v>
      </c>
      <c r="W53">
        <v>2021</v>
      </c>
      <c r="X53" t="s">
        <v>33</v>
      </c>
      <c r="Y53" t="s">
        <v>34</v>
      </c>
    </row>
    <row r="54" spans="1:25" x14ac:dyDescent="0.25">
      <c r="A54" t="s">
        <v>201</v>
      </c>
      <c r="B54" t="s">
        <v>202</v>
      </c>
      <c r="C54" t="s">
        <v>203</v>
      </c>
      <c r="D54" t="s">
        <v>73</v>
      </c>
      <c r="E54" t="s">
        <v>31</v>
      </c>
      <c r="F54" t="s">
        <v>32</v>
      </c>
      <c r="G54">
        <v>31.587595</v>
      </c>
      <c r="H54">
        <v>0.48404799999999998</v>
      </c>
      <c r="I54">
        <v>0</v>
      </c>
      <c r="J54">
        <v>4201.8599999999997</v>
      </c>
      <c r="K54">
        <v>2610</v>
      </c>
      <c r="L54">
        <v>53</v>
      </c>
      <c r="M54">
        <v>1591.86</v>
      </c>
      <c r="N54">
        <v>484.71</v>
      </c>
      <c r="O54">
        <v>496.14</v>
      </c>
      <c r="P54">
        <v>514.86</v>
      </c>
      <c r="Q54">
        <v>13.86</v>
      </c>
      <c r="R54">
        <v>66.430000000000007</v>
      </c>
      <c r="S54">
        <v>115.14</v>
      </c>
      <c r="T54">
        <v>673.14</v>
      </c>
      <c r="U54">
        <v>245.71</v>
      </c>
      <c r="V54">
        <v>4.0639999999999999E-3</v>
      </c>
      <c r="W54">
        <v>2021</v>
      </c>
      <c r="X54" t="s">
        <v>33</v>
      </c>
      <c r="Y54" t="s">
        <v>34</v>
      </c>
    </row>
    <row r="55" spans="1:25" x14ac:dyDescent="0.25">
      <c r="A55" t="s">
        <v>204</v>
      </c>
      <c r="B55" t="s">
        <v>205</v>
      </c>
      <c r="C55" t="s">
        <v>206</v>
      </c>
      <c r="D55" t="s">
        <v>95</v>
      </c>
      <c r="E55" t="s">
        <v>96</v>
      </c>
      <c r="F55" t="s">
        <v>32</v>
      </c>
      <c r="G55">
        <v>33.146630999999999</v>
      </c>
      <c r="H55">
        <v>0.76314300000000002</v>
      </c>
      <c r="I55">
        <v>7</v>
      </c>
      <c r="J55">
        <v>4152.57</v>
      </c>
      <c r="K55">
        <v>1179.71</v>
      </c>
      <c r="L55">
        <v>155.57</v>
      </c>
      <c r="M55">
        <v>2972.86</v>
      </c>
      <c r="N55">
        <v>230.43</v>
      </c>
      <c r="O55">
        <v>532.71</v>
      </c>
      <c r="P55">
        <v>25.29</v>
      </c>
      <c r="Q55">
        <v>7.29</v>
      </c>
      <c r="R55">
        <v>17</v>
      </c>
      <c r="S55">
        <v>145</v>
      </c>
      <c r="T55">
        <v>154</v>
      </c>
      <c r="U55">
        <v>68</v>
      </c>
      <c r="V55">
        <v>4.0169999999999997E-3</v>
      </c>
      <c r="W55">
        <v>2021</v>
      </c>
      <c r="X55" t="s">
        <v>33</v>
      </c>
      <c r="Y55" t="s">
        <v>34</v>
      </c>
    </row>
    <row r="56" spans="1:25" x14ac:dyDescent="0.25">
      <c r="A56" t="s">
        <v>207</v>
      </c>
      <c r="B56" t="s">
        <v>208</v>
      </c>
      <c r="C56" t="s">
        <v>209</v>
      </c>
      <c r="D56" t="s">
        <v>157</v>
      </c>
      <c r="E56" t="s">
        <v>48</v>
      </c>
      <c r="F56" t="s">
        <v>32</v>
      </c>
      <c r="G56">
        <v>32.879807</v>
      </c>
      <c r="H56">
        <v>3.5359379999999998</v>
      </c>
      <c r="I56">
        <v>7</v>
      </c>
      <c r="J56">
        <v>4067.43</v>
      </c>
      <c r="K56">
        <v>1922.71</v>
      </c>
      <c r="L56">
        <v>504.57</v>
      </c>
      <c r="M56">
        <v>2144.71</v>
      </c>
      <c r="N56">
        <v>440.57</v>
      </c>
      <c r="O56">
        <v>454.14</v>
      </c>
      <c r="P56">
        <v>107</v>
      </c>
      <c r="Q56">
        <v>32.29</v>
      </c>
      <c r="R56">
        <v>66.430000000000007</v>
      </c>
      <c r="S56">
        <v>52.86</v>
      </c>
      <c r="T56">
        <v>248.86</v>
      </c>
      <c r="U56">
        <v>520.57000000000005</v>
      </c>
      <c r="V56">
        <v>3.934E-3</v>
      </c>
      <c r="W56">
        <v>2021</v>
      </c>
      <c r="X56" t="s">
        <v>33</v>
      </c>
      <c r="Y56" t="s">
        <v>34</v>
      </c>
    </row>
    <row r="57" spans="1:25" x14ac:dyDescent="0.25">
      <c r="A57" t="s">
        <v>210</v>
      </c>
      <c r="B57" t="s">
        <v>211</v>
      </c>
      <c r="C57" t="s">
        <v>212</v>
      </c>
      <c r="D57" t="s">
        <v>157</v>
      </c>
      <c r="E57" t="s">
        <v>48</v>
      </c>
      <c r="F57" t="s">
        <v>32</v>
      </c>
      <c r="G57">
        <v>33.241919000000003</v>
      </c>
      <c r="H57">
        <v>2.7673920000000001</v>
      </c>
      <c r="I57">
        <v>7</v>
      </c>
      <c r="J57">
        <v>4035.43</v>
      </c>
      <c r="K57">
        <v>2076.4299999999998</v>
      </c>
      <c r="L57">
        <v>286.57</v>
      </c>
      <c r="M57">
        <v>1959</v>
      </c>
      <c r="N57">
        <v>627.71</v>
      </c>
      <c r="O57">
        <v>434.14</v>
      </c>
      <c r="P57">
        <v>294</v>
      </c>
      <c r="Q57">
        <v>9.2899999999999991</v>
      </c>
      <c r="R57">
        <v>73.290000000000006</v>
      </c>
      <c r="S57">
        <v>108.86</v>
      </c>
      <c r="T57">
        <v>270.43</v>
      </c>
      <c r="U57">
        <v>258.70999999999998</v>
      </c>
      <c r="V57">
        <v>3.9029999999999998E-3</v>
      </c>
      <c r="W57">
        <v>2021</v>
      </c>
      <c r="X57" t="s">
        <v>33</v>
      </c>
      <c r="Y57" t="s">
        <v>34</v>
      </c>
    </row>
    <row r="58" spans="1:25" x14ac:dyDescent="0.25">
      <c r="A58" t="s">
        <v>213</v>
      </c>
      <c r="B58" t="s">
        <v>214</v>
      </c>
      <c r="C58" t="s">
        <v>215</v>
      </c>
      <c r="D58" t="s">
        <v>170</v>
      </c>
      <c r="E58" t="s">
        <v>166</v>
      </c>
      <c r="F58" t="s">
        <v>32</v>
      </c>
      <c r="G58">
        <v>29.762280000000001</v>
      </c>
      <c r="H58">
        <v>-1.0260089999999999</v>
      </c>
      <c r="I58">
        <v>7</v>
      </c>
      <c r="J58">
        <v>3993.86</v>
      </c>
      <c r="K58">
        <v>392.43</v>
      </c>
      <c r="L58">
        <v>229.29</v>
      </c>
      <c r="M58">
        <v>3601.43</v>
      </c>
      <c r="N58">
        <v>101.71</v>
      </c>
      <c r="O58">
        <v>63.29</v>
      </c>
      <c r="P58">
        <v>58.57</v>
      </c>
      <c r="Q58">
        <v>4</v>
      </c>
      <c r="R58">
        <v>1</v>
      </c>
      <c r="S58">
        <v>55.43</v>
      </c>
      <c r="T58">
        <v>105.29</v>
      </c>
      <c r="U58">
        <v>3.14</v>
      </c>
      <c r="V58">
        <v>3.8630000000000001E-3</v>
      </c>
      <c r="W58">
        <v>2021</v>
      </c>
      <c r="X58" t="s">
        <v>33</v>
      </c>
      <c r="Y58" t="s">
        <v>34</v>
      </c>
    </row>
    <row r="59" spans="1:25" x14ac:dyDescent="0.25">
      <c r="A59" t="s">
        <v>216</v>
      </c>
      <c r="B59" t="s">
        <v>217</v>
      </c>
      <c r="C59" t="s">
        <v>218</v>
      </c>
      <c r="D59" t="s">
        <v>69</v>
      </c>
      <c r="E59" t="s">
        <v>31</v>
      </c>
      <c r="F59" t="s">
        <v>32</v>
      </c>
      <c r="G59">
        <v>32.214069000000002</v>
      </c>
      <c r="H59">
        <v>1.4161809999999999</v>
      </c>
      <c r="I59">
        <v>0</v>
      </c>
      <c r="J59">
        <v>3826.71</v>
      </c>
      <c r="K59">
        <v>2689.86</v>
      </c>
      <c r="L59">
        <v>74.86</v>
      </c>
      <c r="M59">
        <v>1136.8599999999999</v>
      </c>
      <c r="N59">
        <v>662.14</v>
      </c>
      <c r="O59">
        <v>705.29</v>
      </c>
      <c r="P59">
        <v>489.57</v>
      </c>
      <c r="Q59">
        <v>44.57</v>
      </c>
      <c r="R59">
        <v>138</v>
      </c>
      <c r="S59">
        <v>106</v>
      </c>
      <c r="T59">
        <v>321.43</v>
      </c>
      <c r="U59">
        <v>222.86</v>
      </c>
      <c r="V59">
        <v>3.7009999999999999E-3</v>
      </c>
      <c r="W59">
        <v>2021</v>
      </c>
      <c r="X59" t="s">
        <v>33</v>
      </c>
      <c r="Y59" t="s">
        <v>34</v>
      </c>
    </row>
    <row r="60" spans="1:25" x14ac:dyDescent="0.25">
      <c r="A60" t="s">
        <v>219</v>
      </c>
      <c r="B60" t="s">
        <v>220</v>
      </c>
      <c r="C60" t="s">
        <v>221</v>
      </c>
      <c r="D60" t="s">
        <v>157</v>
      </c>
      <c r="E60" t="s">
        <v>48</v>
      </c>
      <c r="F60" t="s">
        <v>32</v>
      </c>
      <c r="G60">
        <v>32.272348999999998</v>
      </c>
      <c r="H60">
        <v>3.2605279999999999</v>
      </c>
      <c r="I60">
        <v>7</v>
      </c>
      <c r="J60">
        <v>3786.43</v>
      </c>
      <c r="K60">
        <v>2730.71</v>
      </c>
      <c r="L60">
        <v>113.71</v>
      </c>
      <c r="M60">
        <v>1055.71</v>
      </c>
      <c r="N60">
        <v>675.43</v>
      </c>
      <c r="O60">
        <v>721.71</v>
      </c>
      <c r="P60">
        <v>160</v>
      </c>
      <c r="Q60">
        <v>64</v>
      </c>
      <c r="R60">
        <v>161.86000000000001</v>
      </c>
      <c r="S60">
        <v>147</v>
      </c>
      <c r="T60">
        <v>368.86</v>
      </c>
      <c r="U60">
        <v>431.86</v>
      </c>
      <c r="V60">
        <v>3.6619999999999999E-3</v>
      </c>
      <c r="W60">
        <v>2021</v>
      </c>
      <c r="X60" t="s">
        <v>33</v>
      </c>
      <c r="Y60" t="s">
        <v>34</v>
      </c>
    </row>
    <row r="61" spans="1:25" x14ac:dyDescent="0.25">
      <c r="A61" t="s">
        <v>222</v>
      </c>
      <c r="B61" t="s">
        <v>223</v>
      </c>
      <c r="C61" t="s">
        <v>224</v>
      </c>
      <c r="D61" t="s">
        <v>62</v>
      </c>
      <c r="E61" t="s">
        <v>31</v>
      </c>
      <c r="F61" t="s">
        <v>32</v>
      </c>
      <c r="G61">
        <v>31.841073999999999</v>
      </c>
      <c r="H61">
        <v>-4.1710999999999998E-2</v>
      </c>
      <c r="I61">
        <v>0</v>
      </c>
      <c r="J61">
        <v>3684.57</v>
      </c>
      <c r="K61">
        <v>581</v>
      </c>
      <c r="L61">
        <v>121.43</v>
      </c>
      <c r="M61">
        <v>3103.57</v>
      </c>
      <c r="N61">
        <v>237.86</v>
      </c>
      <c r="O61">
        <v>156.71</v>
      </c>
      <c r="P61">
        <v>14.29</v>
      </c>
      <c r="Q61">
        <v>1.57</v>
      </c>
      <c r="R61">
        <v>2</v>
      </c>
      <c r="S61">
        <v>133</v>
      </c>
      <c r="T61">
        <v>29.14</v>
      </c>
      <c r="U61">
        <v>6.43</v>
      </c>
      <c r="V61">
        <v>3.5639999999999999E-3</v>
      </c>
      <c r="W61">
        <v>2021</v>
      </c>
      <c r="X61" t="s">
        <v>33</v>
      </c>
      <c r="Y61" t="s">
        <v>34</v>
      </c>
    </row>
    <row r="62" spans="1:25" x14ac:dyDescent="0.25">
      <c r="A62" t="s">
        <v>225</v>
      </c>
      <c r="B62" t="s">
        <v>226</v>
      </c>
      <c r="C62" t="s">
        <v>227</v>
      </c>
      <c r="D62" t="s">
        <v>170</v>
      </c>
      <c r="E62" t="s">
        <v>166</v>
      </c>
      <c r="F62" t="s">
        <v>32</v>
      </c>
      <c r="G62">
        <v>29.793744</v>
      </c>
      <c r="H62">
        <v>-0.58348900000000004</v>
      </c>
      <c r="I62">
        <v>7</v>
      </c>
      <c r="J62">
        <v>3603.57</v>
      </c>
      <c r="K62">
        <v>413.43</v>
      </c>
      <c r="L62">
        <v>305.43</v>
      </c>
      <c r="M62">
        <v>3190.14</v>
      </c>
      <c r="N62">
        <v>113.43</v>
      </c>
      <c r="O62">
        <v>106</v>
      </c>
      <c r="P62">
        <v>58.57</v>
      </c>
      <c r="Q62">
        <v>3.43</v>
      </c>
      <c r="R62">
        <v>1.71</v>
      </c>
      <c r="S62">
        <v>59.57</v>
      </c>
      <c r="T62">
        <v>34</v>
      </c>
      <c r="U62">
        <v>36.71</v>
      </c>
      <c r="V62">
        <v>3.4859999999999999E-3</v>
      </c>
      <c r="W62">
        <v>2021</v>
      </c>
      <c r="X62" t="s">
        <v>33</v>
      </c>
      <c r="Y62" t="s">
        <v>34</v>
      </c>
    </row>
    <row r="63" spans="1:25" x14ac:dyDescent="0.25">
      <c r="A63" t="s">
        <v>228</v>
      </c>
      <c r="B63" t="s">
        <v>229</v>
      </c>
      <c r="C63" t="s">
        <v>230</v>
      </c>
      <c r="D63" t="s">
        <v>231</v>
      </c>
      <c r="E63" t="s">
        <v>166</v>
      </c>
      <c r="F63" t="s">
        <v>32</v>
      </c>
      <c r="G63">
        <v>30.625995</v>
      </c>
      <c r="H63">
        <v>-9.8872000000000002E-2</v>
      </c>
      <c r="I63">
        <v>7</v>
      </c>
      <c r="J63">
        <v>3580.71</v>
      </c>
      <c r="K63">
        <v>472.71</v>
      </c>
      <c r="L63">
        <v>376.57</v>
      </c>
      <c r="M63">
        <v>3108</v>
      </c>
      <c r="N63">
        <v>126.14</v>
      </c>
      <c r="O63">
        <v>138.86000000000001</v>
      </c>
      <c r="P63">
        <v>44</v>
      </c>
      <c r="Q63">
        <v>3</v>
      </c>
      <c r="R63">
        <v>2.4300000000000002</v>
      </c>
      <c r="S63">
        <v>72</v>
      </c>
      <c r="T63">
        <v>82</v>
      </c>
      <c r="U63">
        <v>4.29</v>
      </c>
      <c r="V63">
        <v>3.4629999999999999E-3</v>
      </c>
      <c r="W63">
        <v>2021</v>
      </c>
      <c r="X63" t="s">
        <v>33</v>
      </c>
      <c r="Y63" t="s">
        <v>34</v>
      </c>
    </row>
    <row r="64" spans="1:25" x14ac:dyDescent="0.25">
      <c r="A64" t="s">
        <v>232</v>
      </c>
      <c r="B64" t="s">
        <v>233</v>
      </c>
      <c r="C64" t="s">
        <v>234</v>
      </c>
      <c r="D64" t="s">
        <v>231</v>
      </c>
      <c r="E64" t="s">
        <v>166</v>
      </c>
      <c r="F64" t="s">
        <v>32</v>
      </c>
      <c r="G64">
        <v>30.320065</v>
      </c>
      <c r="H64">
        <v>-0.42866900000000002</v>
      </c>
      <c r="I64">
        <v>7</v>
      </c>
      <c r="J64">
        <v>3412.86</v>
      </c>
      <c r="K64">
        <v>1528.43</v>
      </c>
      <c r="L64">
        <v>269.70999999999998</v>
      </c>
      <c r="M64">
        <v>1884.43</v>
      </c>
      <c r="N64">
        <v>446.57</v>
      </c>
      <c r="O64">
        <v>384</v>
      </c>
      <c r="P64">
        <v>207.43</v>
      </c>
      <c r="Q64">
        <v>46.86</v>
      </c>
      <c r="R64">
        <v>12.43</v>
      </c>
      <c r="S64">
        <v>375.86</v>
      </c>
      <c r="T64">
        <v>38.57</v>
      </c>
      <c r="U64">
        <v>16.71</v>
      </c>
      <c r="V64">
        <v>3.3010000000000001E-3</v>
      </c>
      <c r="W64">
        <v>2021</v>
      </c>
      <c r="X64" t="s">
        <v>33</v>
      </c>
      <c r="Y64" t="s">
        <v>34</v>
      </c>
    </row>
    <row r="65" spans="1:25" x14ac:dyDescent="0.25">
      <c r="A65" t="s">
        <v>235</v>
      </c>
      <c r="B65" t="s">
        <v>236</v>
      </c>
      <c r="C65" t="s">
        <v>237</v>
      </c>
      <c r="D65" t="s">
        <v>73</v>
      </c>
      <c r="E65" t="s">
        <v>31</v>
      </c>
      <c r="F65" t="s">
        <v>32</v>
      </c>
      <c r="G65">
        <v>31.659020999999999</v>
      </c>
      <c r="H65">
        <v>0.58665999999999996</v>
      </c>
      <c r="I65">
        <v>0</v>
      </c>
      <c r="J65">
        <v>3240.71</v>
      </c>
      <c r="K65">
        <v>304</v>
      </c>
      <c r="L65">
        <v>133.43</v>
      </c>
      <c r="M65">
        <v>2936.71</v>
      </c>
      <c r="N65">
        <v>111.14</v>
      </c>
      <c r="O65">
        <v>49.57</v>
      </c>
      <c r="P65">
        <v>9.2899999999999991</v>
      </c>
      <c r="Q65">
        <v>1.1399999999999999</v>
      </c>
      <c r="R65">
        <v>0.28999999999999998</v>
      </c>
      <c r="S65">
        <v>95.57</v>
      </c>
      <c r="T65">
        <v>33.29</v>
      </c>
      <c r="U65">
        <v>3.71</v>
      </c>
      <c r="V65">
        <v>3.1350000000000002E-3</v>
      </c>
      <c r="W65">
        <v>2021</v>
      </c>
      <c r="X65" t="s">
        <v>33</v>
      </c>
      <c r="Y65" t="s">
        <v>34</v>
      </c>
    </row>
    <row r="66" spans="1:25" x14ac:dyDescent="0.25">
      <c r="A66" t="s">
        <v>238</v>
      </c>
      <c r="B66" t="s">
        <v>239</v>
      </c>
      <c r="C66" t="s">
        <v>240</v>
      </c>
      <c r="D66" t="s">
        <v>69</v>
      </c>
      <c r="E66" t="s">
        <v>31</v>
      </c>
      <c r="F66" t="s">
        <v>32</v>
      </c>
      <c r="G66">
        <v>32.387495999999999</v>
      </c>
      <c r="H66">
        <v>0.71684700000000001</v>
      </c>
      <c r="I66">
        <v>0</v>
      </c>
      <c r="J66">
        <v>3226.71</v>
      </c>
      <c r="K66">
        <v>402.71</v>
      </c>
      <c r="L66">
        <v>136.43</v>
      </c>
      <c r="M66">
        <v>2824</v>
      </c>
      <c r="N66">
        <v>104.14</v>
      </c>
      <c r="O66">
        <v>74.430000000000007</v>
      </c>
      <c r="P66">
        <v>53</v>
      </c>
      <c r="Q66">
        <v>3.29</v>
      </c>
      <c r="R66">
        <v>1.43</v>
      </c>
      <c r="S66">
        <v>123</v>
      </c>
      <c r="T66">
        <v>42.43</v>
      </c>
      <c r="U66">
        <v>1</v>
      </c>
      <c r="V66">
        <v>3.1210000000000001E-3</v>
      </c>
      <c r="W66">
        <v>2021</v>
      </c>
      <c r="X66" t="s">
        <v>33</v>
      </c>
      <c r="Y66" t="s">
        <v>34</v>
      </c>
    </row>
    <row r="67" spans="1:25" x14ac:dyDescent="0.25">
      <c r="A67" t="s">
        <v>241</v>
      </c>
      <c r="B67" t="s">
        <v>242</v>
      </c>
      <c r="C67" t="s">
        <v>243</v>
      </c>
      <c r="D67" t="s">
        <v>153</v>
      </c>
      <c r="E67" t="s">
        <v>96</v>
      </c>
      <c r="F67" t="s">
        <v>32</v>
      </c>
      <c r="G67">
        <v>34.238734000000001</v>
      </c>
      <c r="H67">
        <v>0.82391099999999995</v>
      </c>
      <c r="I67">
        <v>0</v>
      </c>
      <c r="J67">
        <v>3209.57</v>
      </c>
      <c r="K67">
        <v>1568</v>
      </c>
      <c r="L67">
        <v>141.29</v>
      </c>
      <c r="M67">
        <v>1641.57</v>
      </c>
      <c r="N67">
        <v>294.29000000000002</v>
      </c>
      <c r="O67">
        <v>219.86</v>
      </c>
      <c r="P67">
        <v>651</v>
      </c>
      <c r="Q67">
        <v>22.29</v>
      </c>
      <c r="R67">
        <v>2.4300000000000002</v>
      </c>
      <c r="S67">
        <v>164.43</v>
      </c>
      <c r="T67">
        <v>165.71</v>
      </c>
      <c r="U67">
        <v>48</v>
      </c>
      <c r="V67">
        <v>3.104E-3</v>
      </c>
      <c r="W67">
        <v>2021</v>
      </c>
      <c r="X67" t="s">
        <v>33</v>
      </c>
      <c r="Y67" t="s">
        <v>34</v>
      </c>
    </row>
    <row r="68" spans="1:25" x14ac:dyDescent="0.25">
      <c r="A68" t="s">
        <v>244</v>
      </c>
      <c r="B68" t="s">
        <v>245</v>
      </c>
      <c r="C68" t="s">
        <v>246</v>
      </c>
      <c r="D68" t="s">
        <v>62</v>
      </c>
      <c r="E68" t="s">
        <v>31</v>
      </c>
      <c r="F68" t="s">
        <v>32</v>
      </c>
      <c r="G68">
        <v>31.439757</v>
      </c>
      <c r="H68">
        <v>-7.0925000000000002E-2</v>
      </c>
      <c r="I68">
        <v>0</v>
      </c>
      <c r="J68">
        <v>3194</v>
      </c>
      <c r="K68">
        <v>872.57</v>
      </c>
      <c r="L68">
        <v>228.43</v>
      </c>
      <c r="M68">
        <v>2321.4299999999998</v>
      </c>
      <c r="N68">
        <v>349.86</v>
      </c>
      <c r="O68">
        <v>221.71</v>
      </c>
      <c r="P68">
        <v>25.43</v>
      </c>
      <c r="Q68">
        <v>11.86</v>
      </c>
      <c r="R68">
        <v>10</v>
      </c>
      <c r="S68">
        <v>189.29</v>
      </c>
      <c r="T68">
        <v>61.71</v>
      </c>
      <c r="U68">
        <v>2.71</v>
      </c>
      <c r="V68">
        <v>3.0890000000000002E-3</v>
      </c>
      <c r="W68">
        <v>2021</v>
      </c>
      <c r="X68" t="s">
        <v>33</v>
      </c>
      <c r="Y68" t="s">
        <v>34</v>
      </c>
    </row>
    <row r="69" spans="1:25" x14ac:dyDescent="0.25">
      <c r="A69" t="s">
        <v>247</v>
      </c>
      <c r="B69" t="s">
        <v>248</v>
      </c>
      <c r="C69" t="s">
        <v>249</v>
      </c>
      <c r="D69" t="s">
        <v>157</v>
      </c>
      <c r="E69" t="s">
        <v>48</v>
      </c>
      <c r="F69" t="s">
        <v>32</v>
      </c>
      <c r="G69">
        <v>33.258229</v>
      </c>
      <c r="H69">
        <v>3.104025</v>
      </c>
      <c r="I69">
        <v>7</v>
      </c>
      <c r="J69">
        <v>3184.71</v>
      </c>
      <c r="K69">
        <v>2282.14</v>
      </c>
      <c r="L69">
        <v>0.28999999999999998</v>
      </c>
      <c r="M69">
        <v>902.57</v>
      </c>
      <c r="N69">
        <v>551.57000000000005</v>
      </c>
      <c r="O69">
        <v>436</v>
      </c>
      <c r="P69">
        <v>351.29</v>
      </c>
      <c r="Q69">
        <v>7.86</v>
      </c>
      <c r="R69">
        <v>82.14</v>
      </c>
      <c r="S69">
        <v>298.43</v>
      </c>
      <c r="T69">
        <v>303.43</v>
      </c>
      <c r="U69">
        <v>251.43</v>
      </c>
      <c r="V69">
        <v>3.0799999999999998E-3</v>
      </c>
      <c r="W69">
        <v>2021</v>
      </c>
      <c r="X69" t="s">
        <v>33</v>
      </c>
      <c r="Y69" t="s">
        <v>34</v>
      </c>
    </row>
    <row r="70" spans="1:25" x14ac:dyDescent="0.25">
      <c r="A70" t="s">
        <v>250</v>
      </c>
      <c r="B70" t="s">
        <v>248</v>
      </c>
      <c r="C70" t="s">
        <v>249</v>
      </c>
      <c r="D70" t="s">
        <v>157</v>
      </c>
      <c r="E70" t="s">
        <v>48</v>
      </c>
      <c r="F70" t="s">
        <v>32</v>
      </c>
      <c r="G70">
        <v>33.090625000000003</v>
      </c>
      <c r="H70">
        <v>3.2159270000000002</v>
      </c>
      <c r="I70">
        <v>7</v>
      </c>
      <c r="J70">
        <v>3184.71</v>
      </c>
      <c r="K70">
        <v>2282.14</v>
      </c>
      <c r="L70">
        <v>0.28999999999999998</v>
      </c>
      <c r="M70">
        <v>902.57</v>
      </c>
      <c r="N70">
        <v>551.57000000000005</v>
      </c>
      <c r="O70">
        <v>436</v>
      </c>
      <c r="P70">
        <v>351.29</v>
      </c>
      <c r="Q70">
        <v>7.86</v>
      </c>
      <c r="R70">
        <v>82.14</v>
      </c>
      <c r="S70">
        <v>298.43</v>
      </c>
      <c r="T70">
        <v>303.43</v>
      </c>
      <c r="U70">
        <v>251.43</v>
      </c>
      <c r="V70">
        <v>3.0799999999999998E-3</v>
      </c>
      <c r="W70">
        <v>2021</v>
      </c>
      <c r="X70" t="s">
        <v>33</v>
      </c>
      <c r="Y70" t="s">
        <v>34</v>
      </c>
    </row>
    <row r="71" spans="1:25" x14ac:dyDescent="0.25">
      <c r="A71" t="s">
        <v>251</v>
      </c>
      <c r="B71" t="s">
        <v>252</v>
      </c>
      <c r="C71" t="s">
        <v>253</v>
      </c>
      <c r="D71" t="s">
        <v>231</v>
      </c>
      <c r="E71" t="s">
        <v>166</v>
      </c>
      <c r="F71" t="s">
        <v>32</v>
      </c>
      <c r="G71">
        <v>30.517603999999999</v>
      </c>
      <c r="H71">
        <v>-0.42446800000000001</v>
      </c>
      <c r="I71">
        <v>7</v>
      </c>
      <c r="J71">
        <v>3124.57</v>
      </c>
      <c r="K71">
        <v>547.14</v>
      </c>
      <c r="L71">
        <v>1040.57</v>
      </c>
      <c r="M71">
        <v>2577.4299999999998</v>
      </c>
      <c r="N71">
        <v>172</v>
      </c>
      <c r="O71">
        <v>198.57</v>
      </c>
      <c r="P71">
        <v>10.57</v>
      </c>
      <c r="Q71">
        <v>0</v>
      </c>
      <c r="R71">
        <v>0.28999999999999998</v>
      </c>
      <c r="S71">
        <v>22.57</v>
      </c>
      <c r="T71">
        <v>103.57</v>
      </c>
      <c r="U71">
        <v>39.57</v>
      </c>
      <c r="V71">
        <v>3.0219999999999999E-3</v>
      </c>
      <c r="W71">
        <v>2021</v>
      </c>
      <c r="X71" t="s">
        <v>33</v>
      </c>
      <c r="Y71" t="s">
        <v>34</v>
      </c>
    </row>
    <row r="72" spans="1:25" x14ac:dyDescent="0.25">
      <c r="A72" t="s">
        <v>254</v>
      </c>
      <c r="B72" t="s">
        <v>255</v>
      </c>
      <c r="C72" t="s">
        <v>256</v>
      </c>
      <c r="D72" t="s">
        <v>52</v>
      </c>
      <c r="E72" t="s">
        <v>31</v>
      </c>
      <c r="F72" t="s">
        <v>32</v>
      </c>
      <c r="G72">
        <v>32.392631999999999</v>
      </c>
      <c r="H72">
        <v>0.159778</v>
      </c>
      <c r="I72">
        <v>0</v>
      </c>
      <c r="J72">
        <v>3058.57</v>
      </c>
      <c r="K72">
        <v>614.29</v>
      </c>
      <c r="L72">
        <v>63</v>
      </c>
      <c r="M72">
        <v>2444.29</v>
      </c>
      <c r="N72">
        <v>233.57</v>
      </c>
      <c r="O72">
        <v>118.86</v>
      </c>
      <c r="P72">
        <v>47.57</v>
      </c>
      <c r="Q72">
        <v>6.14</v>
      </c>
      <c r="R72">
        <v>2</v>
      </c>
      <c r="S72">
        <v>146</v>
      </c>
      <c r="T72">
        <v>50.57</v>
      </c>
      <c r="U72">
        <v>9.57</v>
      </c>
      <c r="V72">
        <v>2.9580000000000001E-3</v>
      </c>
      <c r="W72">
        <v>2021</v>
      </c>
      <c r="X72" t="s">
        <v>33</v>
      </c>
      <c r="Y72" t="s">
        <v>34</v>
      </c>
    </row>
    <row r="73" spans="1:25" x14ac:dyDescent="0.25">
      <c r="A73" t="s">
        <v>257</v>
      </c>
      <c r="B73" t="s">
        <v>258</v>
      </c>
      <c r="C73" t="s">
        <v>259</v>
      </c>
      <c r="D73" t="s">
        <v>161</v>
      </c>
      <c r="E73" t="s">
        <v>96</v>
      </c>
      <c r="F73" t="s">
        <v>32</v>
      </c>
      <c r="G73">
        <v>34.138713000000003</v>
      </c>
      <c r="H73">
        <v>1.1418630000000001</v>
      </c>
      <c r="I73">
        <v>7</v>
      </c>
      <c r="J73">
        <v>2985.43</v>
      </c>
      <c r="K73">
        <v>841</v>
      </c>
      <c r="L73">
        <v>179.29</v>
      </c>
      <c r="M73">
        <v>2144.4299999999998</v>
      </c>
      <c r="N73">
        <v>185.57</v>
      </c>
      <c r="O73">
        <v>156.71</v>
      </c>
      <c r="P73">
        <v>78.569999999999993</v>
      </c>
      <c r="Q73">
        <v>12.14</v>
      </c>
      <c r="R73">
        <v>11.29</v>
      </c>
      <c r="S73">
        <v>118</v>
      </c>
      <c r="T73">
        <v>185.14</v>
      </c>
      <c r="U73">
        <v>93.57</v>
      </c>
      <c r="V73">
        <v>2.8879999999999999E-3</v>
      </c>
      <c r="W73">
        <v>2021</v>
      </c>
      <c r="X73" t="s">
        <v>33</v>
      </c>
      <c r="Y73" t="s">
        <v>34</v>
      </c>
    </row>
    <row r="74" spans="1:25" x14ac:dyDescent="0.25">
      <c r="A74" t="s">
        <v>260</v>
      </c>
      <c r="B74" t="s">
        <v>261</v>
      </c>
      <c r="C74" t="s">
        <v>262</v>
      </c>
      <c r="D74" t="s">
        <v>62</v>
      </c>
      <c r="E74" t="s">
        <v>31</v>
      </c>
      <c r="F74" t="s">
        <v>32</v>
      </c>
      <c r="G74">
        <v>31.871790000000001</v>
      </c>
      <c r="H74">
        <v>-0.31246000000000002</v>
      </c>
      <c r="I74">
        <v>0</v>
      </c>
      <c r="J74">
        <v>2882.29</v>
      </c>
      <c r="K74">
        <v>669.14</v>
      </c>
      <c r="L74">
        <v>180.29</v>
      </c>
      <c r="M74">
        <v>2213.14</v>
      </c>
      <c r="N74">
        <v>220.14</v>
      </c>
      <c r="O74">
        <v>167.43</v>
      </c>
      <c r="P74">
        <v>54.57</v>
      </c>
      <c r="Q74">
        <v>12.14</v>
      </c>
      <c r="R74">
        <v>0.56999999999999995</v>
      </c>
      <c r="S74">
        <v>133</v>
      </c>
      <c r="T74">
        <v>75.86</v>
      </c>
      <c r="U74">
        <v>5.43</v>
      </c>
      <c r="V74">
        <v>2.7880000000000001E-3</v>
      </c>
      <c r="W74">
        <v>2021</v>
      </c>
      <c r="X74" t="s">
        <v>33</v>
      </c>
      <c r="Y74" t="s">
        <v>34</v>
      </c>
    </row>
    <row r="75" spans="1:25" x14ac:dyDescent="0.25">
      <c r="A75" t="s">
        <v>263</v>
      </c>
      <c r="B75" t="s">
        <v>264</v>
      </c>
      <c r="C75" t="s">
        <v>265</v>
      </c>
      <c r="D75" t="s">
        <v>153</v>
      </c>
      <c r="E75" t="s">
        <v>96</v>
      </c>
      <c r="F75" t="s">
        <v>32</v>
      </c>
      <c r="G75">
        <v>34.087432999999997</v>
      </c>
      <c r="H75">
        <v>0.80607499999999999</v>
      </c>
      <c r="I75">
        <v>7</v>
      </c>
      <c r="J75">
        <v>2879.71</v>
      </c>
      <c r="K75">
        <v>928.14</v>
      </c>
      <c r="L75">
        <v>7.57</v>
      </c>
      <c r="M75">
        <v>1951.57</v>
      </c>
      <c r="N75">
        <v>223.43</v>
      </c>
      <c r="O75">
        <v>251.57</v>
      </c>
      <c r="P75">
        <v>47</v>
      </c>
      <c r="Q75">
        <v>2</v>
      </c>
      <c r="R75">
        <v>3</v>
      </c>
      <c r="S75">
        <v>140.86000000000001</v>
      </c>
      <c r="T75">
        <v>107.57</v>
      </c>
      <c r="U75">
        <v>152.71</v>
      </c>
      <c r="V75">
        <v>2.7850000000000001E-3</v>
      </c>
      <c r="W75">
        <v>2021</v>
      </c>
      <c r="X75" t="s">
        <v>33</v>
      </c>
      <c r="Y75" t="s">
        <v>34</v>
      </c>
    </row>
    <row r="76" spans="1:25" x14ac:dyDescent="0.25">
      <c r="A76" t="s">
        <v>266</v>
      </c>
      <c r="B76" t="s">
        <v>267</v>
      </c>
      <c r="C76" t="s">
        <v>268</v>
      </c>
      <c r="D76" t="s">
        <v>47</v>
      </c>
      <c r="E76" t="s">
        <v>48</v>
      </c>
      <c r="F76" t="s">
        <v>32</v>
      </c>
      <c r="G76">
        <v>31.088542</v>
      </c>
      <c r="H76">
        <v>2.900401</v>
      </c>
      <c r="I76">
        <v>7</v>
      </c>
      <c r="J76">
        <v>2716.29</v>
      </c>
      <c r="K76">
        <v>958.43</v>
      </c>
      <c r="L76">
        <v>545.71</v>
      </c>
      <c r="M76">
        <v>1757.86</v>
      </c>
      <c r="N76">
        <v>513.71</v>
      </c>
      <c r="O76">
        <v>259.29000000000002</v>
      </c>
      <c r="P76">
        <v>17.14</v>
      </c>
      <c r="Q76">
        <v>3.29</v>
      </c>
      <c r="R76">
        <v>29.86</v>
      </c>
      <c r="S76">
        <v>39.29</v>
      </c>
      <c r="T76">
        <v>66.290000000000006</v>
      </c>
      <c r="U76">
        <v>29.57</v>
      </c>
      <c r="V76">
        <v>2.627E-3</v>
      </c>
      <c r="W76">
        <v>2021</v>
      </c>
      <c r="X76" t="s">
        <v>33</v>
      </c>
      <c r="Y76" t="s">
        <v>34</v>
      </c>
    </row>
    <row r="77" spans="1:25" x14ac:dyDescent="0.25">
      <c r="A77" t="s">
        <v>269</v>
      </c>
      <c r="B77" t="s">
        <v>270</v>
      </c>
      <c r="C77" t="s">
        <v>271</v>
      </c>
      <c r="D77" t="s">
        <v>157</v>
      </c>
      <c r="E77" t="s">
        <v>48</v>
      </c>
      <c r="F77" t="s">
        <v>32</v>
      </c>
      <c r="G77">
        <v>33.018037999999997</v>
      </c>
      <c r="H77">
        <v>2.9202840000000001</v>
      </c>
      <c r="I77">
        <v>7</v>
      </c>
      <c r="J77">
        <v>2714.57</v>
      </c>
      <c r="K77">
        <v>1879.57</v>
      </c>
      <c r="L77">
        <v>0.71</v>
      </c>
      <c r="M77">
        <v>835</v>
      </c>
      <c r="N77">
        <v>432.14</v>
      </c>
      <c r="O77">
        <v>628.29</v>
      </c>
      <c r="P77">
        <v>251</v>
      </c>
      <c r="Q77">
        <v>7.57</v>
      </c>
      <c r="R77">
        <v>47.71</v>
      </c>
      <c r="S77">
        <v>143.57</v>
      </c>
      <c r="T77">
        <v>181.29</v>
      </c>
      <c r="U77">
        <v>188</v>
      </c>
      <c r="V77">
        <v>2.6259999999999999E-3</v>
      </c>
      <c r="W77">
        <v>2021</v>
      </c>
      <c r="X77" t="s">
        <v>33</v>
      </c>
      <c r="Y77" t="s">
        <v>34</v>
      </c>
    </row>
    <row r="78" spans="1:25" x14ac:dyDescent="0.25">
      <c r="A78" t="s">
        <v>272</v>
      </c>
      <c r="B78" t="s">
        <v>273</v>
      </c>
      <c r="C78" t="s">
        <v>274</v>
      </c>
      <c r="D78" t="s">
        <v>100</v>
      </c>
      <c r="E78" t="s">
        <v>48</v>
      </c>
      <c r="F78" t="s">
        <v>32</v>
      </c>
      <c r="G78">
        <v>31.286321000000001</v>
      </c>
      <c r="H78">
        <v>3.6767470000000002</v>
      </c>
      <c r="I78">
        <v>7</v>
      </c>
      <c r="J78">
        <v>2693</v>
      </c>
      <c r="K78">
        <v>1463.71</v>
      </c>
      <c r="L78">
        <v>282</v>
      </c>
      <c r="M78">
        <v>1229.29</v>
      </c>
      <c r="N78">
        <v>195.43</v>
      </c>
      <c r="O78">
        <v>368.43</v>
      </c>
      <c r="P78">
        <v>76.430000000000007</v>
      </c>
      <c r="Q78">
        <v>10.29</v>
      </c>
      <c r="R78">
        <v>38</v>
      </c>
      <c r="S78">
        <v>80.569999999999993</v>
      </c>
      <c r="T78">
        <v>192.43</v>
      </c>
      <c r="U78">
        <v>502.14</v>
      </c>
      <c r="V78">
        <v>2.6050000000000001E-3</v>
      </c>
      <c r="W78">
        <v>2021</v>
      </c>
      <c r="X78" t="s">
        <v>33</v>
      </c>
      <c r="Y78" t="s">
        <v>34</v>
      </c>
    </row>
    <row r="79" spans="1:25" x14ac:dyDescent="0.25">
      <c r="A79" t="s">
        <v>275</v>
      </c>
      <c r="B79" t="s">
        <v>276</v>
      </c>
      <c r="C79" t="s">
        <v>277</v>
      </c>
      <c r="D79" t="s">
        <v>278</v>
      </c>
      <c r="E79" t="s">
        <v>112</v>
      </c>
      <c r="F79" t="s">
        <v>32</v>
      </c>
      <c r="G79">
        <v>31.098897999999998</v>
      </c>
      <c r="H79">
        <v>0.48152200000000001</v>
      </c>
      <c r="I79">
        <v>7</v>
      </c>
      <c r="J79">
        <v>2673.71</v>
      </c>
      <c r="K79">
        <v>367.71</v>
      </c>
      <c r="L79">
        <v>350.86</v>
      </c>
      <c r="M79">
        <v>2306</v>
      </c>
      <c r="N79">
        <v>134.13999999999999</v>
      </c>
      <c r="O79">
        <v>94.57</v>
      </c>
      <c r="P79">
        <v>35.14</v>
      </c>
      <c r="Q79">
        <v>0.86</v>
      </c>
      <c r="R79">
        <v>0</v>
      </c>
      <c r="S79">
        <v>52.14</v>
      </c>
      <c r="T79">
        <v>47.14</v>
      </c>
      <c r="U79">
        <v>3.71</v>
      </c>
      <c r="V79">
        <v>2.5860000000000002E-3</v>
      </c>
      <c r="W79">
        <v>2021</v>
      </c>
      <c r="X79" t="s">
        <v>33</v>
      </c>
      <c r="Y79" t="s">
        <v>34</v>
      </c>
    </row>
    <row r="80" spans="1:25" x14ac:dyDescent="0.25">
      <c r="A80" t="s">
        <v>279</v>
      </c>
      <c r="B80" t="s">
        <v>280</v>
      </c>
      <c r="C80" t="s">
        <v>281</v>
      </c>
      <c r="D80" t="s">
        <v>278</v>
      </c>
      <c r="E80" t="s">
        <v>112</v>
      </c>
      <c r="F80" t="s">
        <v>32</v>
      </c>
      <c r="G80">
        <v>30.426489</v>
      </c>
      <c r="H80">
        <v>0.83962099999999995</v>
      </c>
      <c r="I80">
        <v>0</v>
      </c>
      <c r="J80">
        <v>2579.86</v>
      </c>
      <c r="K80">
        <v>227.71</v>
      </c>
      <c r="L80">
        <v>213.86</v>
      </c>
      <c r="M80">
        <v>2352.14</v>
      </c>
      <c r="N80">
        <v>69.86</v>
      </c>
      <c r="O80">
        <v>41.14</v>
      </c>
      <c r="P80">
        <v>8.2899999999999991</v>
      </c>
      <c r="Q80">
        <v>0</v>
      </c>
      <c r="R80">
        <v>0.28999999999999998</v>
      </c>
      <c r="S80">
        <v>39.86</v>
      </c>
      <c r="T80">
        <v>48.14</v>
      </c>
      <c r="U80">
        <v>20.14</v>
      </c>
      <c r="V80">
        <v>2.4949999999999998E-3</v>
      </c>
      <c r="W80">
        <v>2021</v>
      </c>
      <c r="X80" t="s">
        <v>33</v>
      </c>
      <c r="Y80" t="s">
        <v>34</v>
      </c>
    </row>
    <row r="81" spans="1:25" x14ac:dyDescent="0.25">
      <c r="A81" t="s">
        <v>282</v>
      </c>
      <c r="B81" t="s">
        <v>283</v>
      </c>
      <c r="C81" t="s">
        <v>284</v>
      </c>
      <c r="D81" t="s">
        <v>73</v>
      </c>
      <c r="E81" t="s">
        <v>31</v>
      </c>
      <c r="F81" t="s">
        <v>32</v>
      </c>
      <c r="G81">
        <v>31.289959</v>
      </c>
      <c r="H81">
        <v>0.42484899999999998</v>
      </c>
      <c r="I81">
        <v>0</v>
      </c>
      <c r="J81">
        <v>2575.29</v>
      </c>
      <c r="K81">
        <v>632.14</v>
      </c>
      <c r="L81">
        <v>34.29</v>
      </c>
      <c r="M81">
        <v>1943.14</v>
      </c>
      <c r="N81">
        <v>297</v>
      </c>
      <c r="O81">
        <v>111.29</v>
      </c>
      <c r="P81">
        <v>37</v>
      </c>
      <c r="Q81">
        <v>0</v>
      </c>
      <c r="R81">
        <v>0</v>
      </c>
      <c r="S81">
        <v>59</v>
      </c>
      <c r="T81">
        <v>122.71</v>
      </c>
      <c r="U81">
        <v>5.14</v>
      </c>
      <c r="V81">
        <v>2.4910000000000002E-3</v>
      </c>
      <c r="W81">
        <v>2021</v>
      </c>
      <c r="X81" t="s">
        <v>33</v>
      </c>
      <c r="Y81" t="s">
        <v>34</v>
      </c>
    </row>
    <row r="82" spans="1:25" x14ac:dyDescent="0.25">
      <c r="A82" t="s">
        <v>285</v>
      </c>
      <c r="B82" t="s">
        <v>286</v>
      </c>
      <c r="C82" t="s">
        <v>287</v>
      </c>
      <c r="D82" t="s">
        <v>52</v>
      </c>
      <c r="E82" t="s">
        <v>31</v>
      </c>
      <c r="F82" t="s">
        <v>32</v>
      </c>
      <c r="G82">
        <v>32.009909999999998</v>
      </c>
      <c r="H82">
        <v>0.11364299999999999</v>
      </c>
      <c r="I82">
        <v>0</v>
      </c>
      <c r="J82">
        <v>2564</v>
      </c>
      <c r="K82">
        <v>499.71</v>
      </c>
      <c r="L82">
        <v>57.57</v>
      </c>
      <c r="M82">
        <v>2064.29</v>
      </c>
      <c r="N82">
        <v>164.71</v>
      </c>
      <c r="O82">
        <v>85.43</v>
      </c>
      <c r="P82">
        <v>107.14</v>
      </c>
      <c r="Q82">
        <v>4.8600000000000003</v>
      </c>
      <c r="R82">
        <v>0.56999999999999995</v>
      </c>
      <c r="S82">
        <v>76.569999999999993</v>
      </c>
      <c r="T82">
        <v>51.14</v>
      </c>
      <c r="U82">
        <v>9.2899999999999991</v>
      </c>
      <c r="V82">
        <v>2.48E-3</v>
      </c>
      <c r="W82">
        <v>2021</v>
      </c>
      <c r="X82" t="s">
        <v>33</v>
      </c>
      <c r="Y82" t="s">
        <v>34</v>
      </c>
    </row>
    <row r="83" spans="1:25" x14ac:dyDescent="0.25">
      <c r="A83" t="s">
        <v>288</v>
      </c>
      <c r="B83" t="s">
        <v>289</v>
      </c>
      <c r="C83" t="s">
        <v>290</v>
      </c>
      <c r="D83" t="s">
        <v>73</v>
      </c>
      <c r="E83" t="s">
        <v>31</v>
      </c>
      <c r="F83" t="s">
        <v>32</v>
      </c>
      <c r="G83">
        <v>31.374654</v>
      </c>
      <c r="H83">
        <v>0.64695400000000003</v>
      </c>
      <c r="I83">
        <v>0</v>
      </c>
      <c r="J83">
        <v>2551.71</v>
      </c>
      <c r="K83">
        <v>864.86</v>
      </c>
      <c r="L83">
        <v>34.71</v>
      </c>
      <c r="M83">
        <v>1686.86</v>
      </c>
      <c r="N83">
        <v>394.43</v>
      </c>
      <c r="O83">
        <v>161.57</v>
      </c>
      <c r="P83">
        <v>4.29</v>
      </c>
      <c r="Q83">
        <v>2.86</v>
      </c>
      <c r="R83">
        <v>6.43</v>
      </c>
      <c r="S83">
        <v>138</v>
      </c>
      <c r="T83">
        <v>130.43</v>
      </c>
      <c r="U83">
        <v>26.86</v>
      </c>
      <c r="V83">
        <v>2.4680000000000001E-3</v>
      </c>
      <c r="W83">
        <v>2021</v>
      </c>
      <c r="X83" t="s">
        <v>33</v>
      </c>
      <c r="Y83" t="s">
        <v>34</v>
      </c>
    </row>
    <row r="84" spans="1:25" x14ac:dyDescent="0.25">
      <c r="A84" t="s">
        <v>291</v>
      </c>
      <c r="B84" t="s">
        <v>292</v>
      </c>
      <c r="C84" t="s">
        <v>293</v>
      </c>
      <c r="D84" t="s">
        <v>73</v>
      </c>
      <c r="E84" t="s">
        <v>31</v>
      </c>
      <c r="F84" t="s">
        <v>32</v>
      </c>
      <c r="G84">
        <v>32.021062999999998</v>
      </c>
      <c r="H84">
        <v>0.49197099999999999</v>
      </c>
      <c r="I84">
        <v>0</v>
      </c>
      <c r="J84">
        <v>2538</v>
      </c>
      <c r="K84">
        <v>315.70999999999998</v>
      </c>
      <c r="L84">
        <v>22.57</v>
      </c>
      <c r="M84">
        <v>2222.29</v>
      </c>
      <c r="N84">
        <v>129.13999999999999</v>
      </c>
      <c r="O84">
        <v>66</v>
      </c>
      <c r="P84">
        <v>20.71</v>
      </c>
      <c r="Q84">
        <v>0.56999999999999995</v>
      </c>
      <c r="R84">
        <v>0.28999999999999998</v>
      </c>
      <c r="S84">
        <v>70.709999999999994</v>
      </c>
      <c r="T84">
        <v>28.29</v>
      </c>
      <c r="U84">
        <v>0</v>
      </c>
      <c r="V84">
        <v>2.4550000000000002E-3</v>
      </c>
      <c r="W84">
        <v>2021</v>
      </c>
      <c r="X84" t="s">
        <v>33</v>
      </c>
      <c r="Y84" t="s">
        <v>34</v>
      </c>
    </row>
    <row r="85" spans="1:25" x14ac:dyDescent="0.25">
      <c r="A85" t="s">
        <v>294</v>
      </c>
      <c r="B85" t="s">
        <v>295</v>
      </c>
      <c r="C85" t="s">
        <v>296</v>
      </c>
      <c r="D85" t="s">
        <v>47</v>
      </c>
      <c r="E85" t="s">
        <v>48</v>
      </c>
      <c r="F85" t="s">
        <v>32</v>
      </c>
      <c r="G85">
        <v>30.852252</v>
      </c>
      <c r="H85">
        <v>3.0536620000000001</v>
      </c>
      <c r="I85">
        <v>7</v>
      </c>
      <c r="J85">
        <v>2488.5700000000002</v>
      </c>
      <c r="K85">
        <v>687.29</v>
      </c>
      <c r="L85">
        <v>200.86</v>
      </c>
      <c r="M85">
        <v>1801.29</v>
      </c>
      <c r="N85">
        <v>504.57</v>
      </c>
      <c r="O85">
        <v>84</v>
      </c>
      <c r="P85">
        <v>3.71</v>
      </c>
      <c r="Q85">
        <v>0.71</v>
      </c>
      <c r="R85">
        <v>1.71</v>
      </c>
      <c r="S85">
        <v>33.86</v>
      </c>
      <c r="T85">
        <v>35</v>
      </c>
      <c r="U85">
        <v>23.71</v>
      </c>
      <c r="V85">
        <v>2.4069999999999999E-3</v>
      </c>
      <c r="W85">
        <v>2021</v>
      </c>
      <c r="X85" t="s">
        <v>33</v>
      </c>
      <c r="Y85" t="s">
        <v>34</v>
      </c>
    </row>
    <row r="86" spans="1:25" x14ac:dyDescent="0.25">
      <c r="A86" t="s">
        <v>297</v>
      </c>
      <c r="B86" t="s">
        <v>298</v>
      </c>
      <c r="C86" t="s">
        <v>299</v>
      </c>
      <c r="D86" t="s">
        <v>30</v>
      </c>
      <c r="E86" t="s">
        <v>31</v>
      </c>
      <c r="F86" t="s">
        <v>32</v>
      </c>
      <c r="G86">
        <v>32.564689999999999</v>
      </c>
      <c r="H86">
        <v>0.45544899999999999</v>
      </c>
      <c r="I86">
        <v>0</v>
      </c>
      <c r="J86">
        <v>2450.4299999999998</v>
      </c>
      <c r="K86">
        <v>521.42999999999995</v>
      </c>
      <c r="L86">
        <v>135.86000000000001</v>
      </c>
      <c r="M86">
        <v>1929</v>
      </c>
      <c r="N86">
        <v>233.86</v>
      </c>
      <c r="O86">
        <v>91.71</v>
      </c>
      <c r="P86">
        <v>22</v>
      </c>
      <c r="Q86">
        <v>3</v>
      </c>
      <c r="R86">
        <v>3</v>
      </c>
      <c r="S86">
        <v>47.86</v>
      </c>
      <c r="T86">
        <v>58.57</v>
      </c>
      <c r="U86">
        <v>61.43</v>
      </c>
      <c r="V86">
        <v>2.3700000000000001E-3</v>
      </c>
      <c r="W86">
        <v>2021</v>
      </c>
      <c r="X86" t="s">
        <v>33</v>
      </c>
      <c r="Y86" t="s">
        <v>34</v>
      </c>
    </row>
    <row r="87" spans="1:25" x14ac:dyDescent="0.25">
      <c r="A87" t="s">
        <v>300</v>
      </c>
      <c r="B87" t="s">
        <v>301</v>
      </c>
      <c r="C87" t="s">
        <v>302</v>
      </c>
      <c r="D87" t="s">
        <v>69</v>
      </c>
      <c r="E87" t="s">
        <v>31</v>
      </c>
      <c r="F87" t="s">
        <v>32</v>
      </c>
      <c r="G87">
        <v>32.369253999999998</v>
      </c>
      <c r="H87">
        <v>0.48969200000000002</v>
      </c>
      <c r="I87">
        <v>0</v>
      </c>
      <c r="J87">
        <v>2368.29</v>
      </c>
      <c r="K87">
        <v>656.71</v>
      </c>
      <c r="L87">
        <v>50</v>
      </c>
      <c r="M87">
        <v>1711.57</v>
      </c>
      <c r="N87">
        <v>219.57</v>
      </c>
      <c r="O87">
        <v>116.57</v>
      </c>
      <c r="P87">
        <v>58</v>
      </c>
      <c r="Q87">
        <v>3.14</v>
      </c>
      <c r="R87">
        <v>0</v>
      </c>
      <c r="S87">
        <v>161.86000000000001</v>
      </c>
      <c r="T87">
        <v>72.290000000000006</v>
      </c>
      <c r="U87">
        <v>25.29</v>
      </c>
      <c r="V87">
        <v>2.2910000000000001E-3</v>
      </c>
      <c r="W87">
        <v>2021</v>
      </c>
      <c r="X87" t="s">
        <v>33</v>
      </c>
      <c r="Y87" t="s">
        <v>34</v>
      </c>
    </row>
    <row r="88" spans="1:25" x14ac:dyDescent="0.25">
      <c r="A88" t="s">
        <v>303</v>
      </c>
      <c r="B88" t="s">
        <v>304</v>
      </c>
      <c r="C88" t="s">
        <v>305</v>
      </c>
      <c r="D88" t="s">
        <v>62</v>
      </c>
      <c r="E88" t="s">
        <v>31</v>
      </c>
      <c r="F88" t="s">
        <v>32</v>
      </c>
      <c r="G88">
        <v>31.474278999999999</v>
      </c>
      <c r="H88">
        <v>-0.31843300000000002</v>
      </c>
      <c r="I88">
        <v>0</v>
      </c>
      <c r="J88">
        <v>2292.4299999999998</v>
      </c>
      <c r="K88">
        <v>294.57</v>
      </c>
      <c r="L88">
        <v>129.86000000000001</v>
      </c>
      <c r="M88">
        <v>1997.86</v>
      </c>
      <c r="N88">
        <v>133.57</v>
      </c>
      <c r="O88">
        <v>38.86</v>
      </c>
      <c r="P88">
        <v>8.86</v>
      </c>
      <c r="Q88">
        <v>0.56999999999999995</v>
      </c>
      <c r="R88">
        <v>0</v>
      </c>
      <c r="S88">
        <v>82</v>
      </c>
      <c r="T88">
        <v>29.43</v>
      </c>
      <c r="U88">
        <v>1.29</v>
      </c>
      <c r="V88">
        <v>2.2169999999999998E-3</v>
      </c>
      <c r="W88">
        <v>2021</v>
      </c>
      <c r="X88" t="s">
        <v>33</v>
      </c>
      <c r="Y88" t="s">
        <v>34</v>
      </c>
    </row>
    <row r="89" spans="1:25" x14ac:dyDescent="0.25">
      <c r="A89" t="s">
        <v>306</v>
      </c>
      <c r="B89" t="s">
        <v>307</v>
      </c>
      <c r="C89" t="s">
        <v>308</v>
      </c>
      <c r="D89" t="s">
        <v>165</v>
      </c>
      <c r="E89" t="s">
        <v>166</v>
      </c>
      <c r="F89" t="s">
        <v>32</v>
      </c>
      <c r="G89">
        <v>30.153141000000002</v>
      </c>
      <c r="H89">
        <v>0.42380899999999999</v>
      </c>
      <c r="I89">
        <v>7</v>
      </c>
      <c r="J89">
        <v>2290.14</v>
      </c>
      <c r="K89">
        <v>203.86</v>
      </c>
      <c r="L89">
        <v>862.14</v>
      </c>
      <c r="M89">
        <v>2086.29</v>
      </c>
      <c r="N89">
        <v>62.71</v>
      </c>
      <c r="O89">
        <v>58.71</v>
      </c>
      <c r="P89">
        <v>18.57</v>
      </c>
      <c r="Q89">
        <v>0</v>
      </c>
      <c r="R89">
        <v>3.43</v>
      </c>
      <c r="S89">
        <v>30.29</v>
      </c>
      <c r="T89">
        <v>23</v>
      </c>
      <c r="U89">
        <v>7.14</v>
      </c>
      <c r="V89">
        <v>2.215E-3</v>
      </c>
      <c r="W89">
        <v>2021</v>
      </c>
      <c r="X89" t="s">
        <v>33</v>
      </c>
      <c r="Y89" t="s">
        <v>34</v>
      </c>
    </row>
    <row r="90" spans="1:25" x14ac:dyDescent="0.25">
      <c r="A90" t="s">
        <v>309</v>
      </c>
      <c r="B90" t="s">
        <v>310</v>
      </c>
      <c r="C90" t="s">
        <v>311</v>
      </c>
      <c r="D90" t="s">
        <v>73</v>
      </c>
      <c r="E90" t="s">
        <v>31</v>
      </c>
      <c r="F90" t="s">
        <v>32</v>
      </c>
      <c r="G90">
        <v>31.834064999999999</v>
      </c>
      <c r="H90">
        <v>0.60892400000000002</v>
      </c>
      <c r="I90">
        <v>0</v>
      </c>
      <c r="J90">
        <v>2235.4299999999998</v>
      </c>
      <c r="K90">
        <v>785.43</v>
      </c>
      <c r="L90">
        <v>82.29</v>
      </c>
      <c r="M90">
        <v>1450</v>
      </c>
      <c r="N90">
        <v>198.71</v>
      </c>
      <c r="O90">
        <v>200.71</v>
      </c>
      <c r="P90">
        <v>136.29</v>
      </c>
      <c r="Q90">
        <v>11.86</v>
      </c>
      <c r="R90">
        <v>1.1399999999999999</v>
      </c>
      <c r="S90">
        <v>134.71</v>
      </c>
      <c r="T90">
        <v>98.86</v>
      </c>
      <c r="U90">
        <v>3.14</v>
      </c>
      <c r="V90">
        <v>2.1619999999999999E-3</v>
      </c>
      <c r="W90">
        <v>2021</v>
      </c>
      <c r="X90" t="s">
        <v>33</v>
      </c>
      <c r="Y90" t="s">
        <v>34</v>
      </c>
    </row>
    <row r="91" spans="1:25" x14ac:dyDescent="0.25">
      <c r="A91" t="s">
        <v>312</v>
      </c>
      <c r="B91" t="s">
        <v>313</v>
      </c>
      <c r="C91" t="s">
        <v>314</v>
      </c>
      <c r="D91" t="s">
        <v>62</v>
      </c>
      <c r="E91" t="s">
        <v>31</v>
      </c>
      <c r="F91" t="s">
        <v>32</v>
      </c>
      <c r="G91">
        <v>31.508165000000002</v>
      </c>
      <c r="H91">
        <v>-1.209E-3</v>
      </c>
      <c r="I91">
        <v>0</v>
      </c>
      <c r="J91">
        <v>2232.71</v>
      </c>
      <c r="K91">
        <v>591.14</v>
      </c>
      <c r="L91">
        <v>139.13999999999999</v>
      </c>
      <c r="M91">
        <v>1641.57</v>
      </c>
      <c r="N91">
        <v>150.71</v>
      </c>
      <c r="O91">
        <v>194.57</v>
      </c>
      <c r="P91">
        <v>43.14</v>
      </c>
      <c r="Q91">
        <v>0.71</v>
      </c>
      <c r="R91">
        <v>0</v>
      </c>
      <c r="S91">
        <v>121.14</v>
      </c>
      <c r="T91">
        <v>79.430000000000007</v>
      </c>
      <c r="U91">
        <v>1.43</v>
      </c>
      <c r="V91">
        <v>2.16E-3</v>
      </c>
      <c r="W91">
        <v>2021</v>
      </c>
      <c r="X91" t="s">
        <v>33</v>
      </c>
      <c r="Y91" t="s">
        <v>34</v>
      </c>
    </row>
    <row r="92" spans="1:25" x14ac:dyDescent="0.25">
      <c r="A92" t="s">
        <v>315</v>
      </c>
      <c r="B92" t="s">
        <v>316</v>
      </c>
      <c r="C92" t="s">
        <v>317</v>
      </c>
      <c r="D92" t="s">
        <v>69</v>
      </c>
      <c r="E92" t="s">
        <v>31</v>
      </c>
      <c r="F92" t="s">
        <v>32</v>
      </c>
      <c r="G92">
        <v>32.576613000000002</v>
      </c>
      <c r="H92">
        <v>0.78203199999999995</v>
      </c>
      <c r="I92">
        <v>0</v>
      </c>
      <c r="J92">
        <v>2220.14</v>
      </c>
      <c r="K92">
        <v>452.57</v>
      </c>
      <c r="L92">
        <v>159.13999999999999</v>
      </c>
      <c r="M92">
        <v>1767.57</v>
      </c>
      <c r="N92">
        <v>66.86</v>
      </c>
      <c r="O92">
        <v>106.57</v>
      </c>
      <c r="P92">
        <v>71.86</v>
      </c>
      <c r="Q92">
        <v>2.4300000000000002</v>
      </c>
      <c r="R92">
        <v>0</v>
      </c>
      <c r="S92">
        <v>63.14</v>
      </c>
      <c r="T92">
        <v>140.43</v>
      </c>
      <c r="U92">
        <v>1.29</v>
      </c>
      <c r="V92">
        <v>2.147E-3</v>
      </c>
      <c r="W92">
        <v>2021</v>
      </c>
      <c r="X92" t="s">
        <v>33</v>
      </c>
      <c r="Y92" t="s">
        <v>34</v>
      </c>
    </row>
    <row r="93" spans="1:25" x14ac:dyDescent="0.25">
      <c r="A93" t="s">
        <v>318</v>
      </c>
      <c r="B93" t="s">
        <v>319</v>
      </c>
      <c r="C93" t="s">
        <v>320</v>
      </c>
      <c r="D93" t="s">
        <v>52</v>
      </c>
      <c r="E93" t="s">
        <v>31</v>
      </c>
      <c r="F93" t="s">
        <v>32</v>
      </c>
      <c r="G93">
        <v>31.894334000000001</v>
      </c>
      <c r="H93">
        <v>0.19725000000000001</v>
      </c>
      <c r="I93">
        <v>0</v>
      </c>
      <c r="J93">
        <v>2206.5700000000002</v>
      </c>
      <c r="K93">
        <v>433.14</v>
      </c>
      <c r="L93">
        <v>63</v>
      </c>
      <c r="M93">
        <v>1773.43</v>
      </c>
      <c r="N93">
        <v>150.86000000000001</v>
      </c>
      <c r="O93">
        <v>62</v>
      </c>
      <c r="P93">
        <v>41</v>
      </c>
      <c r="Q93">
        <v>1.57</v>
      </c>
      <c r="R93">
        <v>0.71</v>
      </c>
      <c r="S93">
        <v>108.43</v>
      </c>
      <c r="T93">
        <v>63.57</v>
      </c>
      <c r="U93">
        <v>5</v>
      </c>
      <c r="V93">
        <v>2.134E-3</v>
      </c>
      <c r="W93">
        <v>2021</v>
      </c>
      <c r="X93" t="s">
        <v>33</v>
      </c>
      <c r="Y93" t="s">
        <v>34</v>
      </c>
    </row>
    <row r="94" spans="1:25" x14ac:dyDescent="0.25">
      <c r="A94" t="s">
        <v>321</v>
      </c>
      <c r="B94" t="s">
        <v>322</v>
      </c>
      <c r="C94" t="s">
        <v>323</v>
      </c>
      <c r="D94" t="s">
        <v>111</v>
      </c>
      <c r="E94" t="s">
        <v>112</v>
      </c>
      <c r="F94" t="s">
        <v>32</v>
      </c>
      <c r="G94">
        <v>31.037738999999998</v>
      </c>
      <c r="H94">
        <v>1.1887989999999999</v>
      </c>
      <c r="I94">
        <v>7</v>
      </c>
      <c r="J94">
        <v>2185.4299999999998</v>
      </c>
      <c r="K94">
        <v>247.43</v>
      </c>
      <c r="L94">
        <v>217.14</v>
      </c>
      <c r="M94">
        <v>1938</v>
      </c>
      <c r="N94">
        <v>86.43</v>
      </c>
      <c r="O94">
        <v>98.57</v>
      </c>
      <c r="P94">
        <v>15.71</v>
      </c>
      <c r="Q94">
        <v>0.56999999999999995</v>
      </c>
      <c r="R94">
        <v>0</v>
      </c>
      <c r="S94">
        <v>26.57</v>
      </c>
      <c r="T94">
        <v>18.29</v>
      </c>
      <c r="U94">
        <v>1.29</v>
      </c>
      <c r="V94">
        <v>2.114E-3</v>
      </c>
      <c r="W94">
        <v>2021</v>
      </c>
      <c r="X94" t="s">
        <v>33</v>
      </c>
      <c r="Y94" t="s">
        <v>34</v>
      </c>
    </row>
    <row r="95" spans="1:25" x14ac:dyDescent="0.25">
      <c r="A95" t="s">
        <v>324</v>
      </c>
      <c r="B95" t="s">
        <v>325</v>
      </c>
      <c r="C95" t="s">
        <v>326</v>
      </c>
      <c r="D95" t="s">
        <v>153</v>
      </c>
      <c r="E95" t="s">
        <v>96</v>
      </c>
      <c r="F95" t="s">
        <v>32</v>
      </c>
      <c r="G95">
        <v>34.160358000000002</v>
      </c>
      <c r="H95">
        <v>0.92393099999999995</v>
      </c>
      <c r="I95">
        <v>7</v>
      </c>
      <c r="J95">
        <v>2177.86</v>
      </c>
      <c r="K95">
        <v>669.86</v>
      </c>
      <c r="L95">
        <v>197.57</v>
      </c>
      <c r="M95">
        <v>1508</v>
      </c>
      <c r="N95">
        <v>224.43</v>
      </c>
      <c r="O95">
        <v>144.13999999999999</v>
      </c>
      <c r="P95">
        <v>58.43</v>
      </c>
      <c r="Q95">
        <v>0.56999999999999995</v>
      </c>
      <c r="R95">
        <v>13.29</v>
      </c>
      <c r="S95">
        <v>64.569999999999993</v>
      </c>
      <c r="T95">
        <v>103.86</v>
      </c>
      <c r="U95">
        <v>60.57</v>
      </c>
      <c r="V95">
        <v>2.1069999999999999E-3</v>
      </c>
      <c r="W95">
        <v>2021</v>
      </c>
      <c r="X95" t="s">
        <v>33</v>
      </c>
      <c r="Y95" t="s">
        <v>34</v>
      </c>
    </row>
    <row r="96" spans="1:25" x14ac:dyDescent="0.25">
      <c r="A96" t="s">
        <v>327</v>
      </c>
      <c r="B96" t="s">
        <v>328</v>
      </c>
      <c r="C96" t="s">
        <v>329</v>
      </c>
      <c r="D96" t="s">
        <v>62</v>
      </c>
      <c r="E96" t="s">
        <v>31</v>
      </c>
      <c r="F96" t="s">
        <v>32</v>
      </c>
      <c r="G96">
        <v>31.612846000000001</v>
      </c>
      <c r="H96">
        <v>-0.26342900000000002</v>
      </c>
      <c r="I96">
        <v>0</v>
      </c>
      <c r="J96">
        <v>2161.86</v>
      </c>
      <c r="K96">
        <v>489</v>
      </c>
      <c r="L96">
        <v>85.86</v>
      </c>
      <c r="M96">
        <v>1672.86</v>
      </c>
      <c r="N96">
        <v>179</v>
      </c>
      <c r="O96">
        <v>162.71</v>
      </c>
      <c r="P96">
        <v>33.86</v>
      </c>
      <c r="Q96">
        <v>2.86</v>
      </c>
      <c r="R96">
        <v>0</v>
      </c>
      <c r="S96">
        <v>72.709999999999994</v>
      </c>
      <c r="T96">
        <v>35.71</v>
      </c>
      <c r="U96">
        <v>2.14</v>
      </c>
      <c r="V96">
        <v>2.091E-3</v>
      </c>
      <c r="W96">
        <v>2021</v>
      </c>
      <c r="X96" t="s">
        <v>33</v>
      </c>
      <c r="Y96" t="s">
        <v>34</v>
      </c>
    </row>
    <row r="97" spans="1:25" x14ac:dyDescent="0.25">
      <c r="A97" t="s">
        <v>330</v>
      </c>
      <c r="B97" t="s">
        <v>331</v>
      </c>
      <c r="C97" t="s">
        <v>332</v>
      </c>
      <c r="D97" t="s">
        <v>73</v>
      </c>
      <c r="E97" t="s">
        <v>31</v>
      </c>
      <c r="F97" t="s">
        <v>32</v>
      </c>
      <c r="G97">
        <v>31.198824999999999</v>
      </c>
      <c r="H97">
        <v>0.77675399999999994</v>
      </c>
      <c r="I97">
        <v>0</v>
      </c>
      <c r="J97">
        <v>2145.29</v>
      </c>
      <c r="K97">
        <v>877.86</v>
      </c>
      <c r="L97">
        <v>46.86</v>
      </c>
      <c r="M97">
        <v>1267.43</v>
      </c>
      <c r="N97">
        <v>278</v>
      </c>
      <c r="O97">
        <v>157.43</v>
      </c>
      <c r="P97">
        <v>58.43</v>
      </c>
      <c r="Q97">
        <v>7.57</v>
      </c>
      <c r="R97">
        <v>4.8600000000000003</v>
      </c>
      <c r="S97">
        <v>145</v>
      </c>
      <c r="T97">
        <v>139.86000000000001</v>
      </c>
      <c r="U97">
        <v>86.71</v>
      </c>
      <c r="V97">
        <v>2.075E-3</v>
      </c>
      <c r="W97">
        <v>2021</v>
      </c>
      <c r="X97" t="s">
        <v>33</v>
      </c>
      <c r="Y97" t="s">
        <v>34</v>
      </c>
    </row>
    <row r="98" spans="1:25" x14ac:dyDescent="0.25">
      <c r="A98" t="s">
        <v>333</v>
      </c>
      <c r="B98" t="s">
        <v>334</v>
      </c>
      <c r="C98" t="s">
        <v>335</v>
      </c>
      <c r="D98" t="s">
        <v>336</v>
      </c>
      <c r="E98" t="s">
        <v>112</v>
      </c>
      <c r="F98" t="s">
        <v>32</v>
      </c>
      <c r="G98">
        <v>32.060699999999997</v>
      </c>
      <c r="H98">
        <v>1.7031000000000001</v>
      </c>
      <c r="I98">
        <v>7</v>
      </c>
      <c r="J98">
        <v>2132.71</v>
      </c>
      <c r="K98">
        <v>294.57</v>
      </c>
      <c r="L98">
        <v>20.86</v>
      </c>
      <c r="M98">
        <v>1838.14</v>
      </c>
      <c r="N98">
        <v>38.14</v>
      </c>
      <c r="O98">
        <v>113</v>
      </c>
      <c r="P98">
        <v>22.86</v>
      </c>
      <c r="Q98">
        <v>0</v>
      </c>
      <c r="R98">
        <v>0.71</v>
      </c>
      <c r="S98">
        <v>64</v>
      </c>
      <c r="T98">
        <v>42</v>
      </c>
      <c r="U98">
        <v>13.86</v>
      </c>
      <c r="V98">
        <v>2.0630000000000002E-3</v>
      </c>
      <c r="W98">
        <v>2021</v>
      </c>
      <c r="X98" t="s">
        <v>33</v>
      </c>
      <c r="Y98" t="s">
        <v>34</v>
      </c>
    </row>
    <row r="99" spans="1:25" x14ac:dyDescent="0.25">
      <c r="A99" t="s">
        <v>337</v>
      </c>
      <c r="B99" t="s">
        <v>338</v>
      </c>
      <c r="C99" t="s">
        <v>339</v>
      </c>
      <c r="D99" t="s">
        <v>52</v>
      </c>
      <c r="E99" t="s">
        <v>31</v>
      </c>
      <c r="F99" t="s">
        <v>32</v>
      </c>
      <c r="G99">
        <v>32.112133</v>
      </c>
      <c r="H99">
        <v>0.48702499999999999</v>
      </c>
      <c r="I99">
        <v>0</v>
      </c>
      <c r="J99">
        <v>2119.71</v>
      </c>
      <c r="K99">
        <v>369</v>
      </c>
      <c r="L99">
        <v>48.14</v>
      </c>
      <c r="M99">
        <v>1750.71</v>
      </c>
      <c r="N99">
        <v>122.57</v>
      </c>
      <c r="O99">
        <v>68.569999999999993</v>
      </c>
      <c r="P99">
        <v>31</v>
      </c>
      <c r="Q99">
        <v>4.8600000000000003</v>
      </c>
      <c r="R99">
        <v>0.28999999999999998</v>
      </c>
      <c r="S99">
        <v>91</v>
      </c>
      <c r="T99">
        <v>39.57</v>
      </c>
      <c r="U99">
        <v>11.14</v>
      </c>
      <c r="V99">
        <v>2.0500000000000002E-3</v>
      </c>
      <c r="W99">
        <v>2021</v>
      </c>
      <c r="X99" t="s">
        <v>33</v>
      </c>
      <c r="Y99" t="s">
        <v>34</v>
      </c>
    </row>
    <row r="100" spans="1:25" x14ac:dyDescent="0.25">
      <c r="A100" t="s">
        <v>340</v>
      </c>
      <c r="B100" t="s">
        <v>341</v>
      </c>
      <c r="C100" t="s">
        <v>342</v>
      </c>
      <c r="D100" t="s">
        <v>278</v>
      </c>
      <c r="E100" t="s">
        <v>112</v>
      </c>
      <c r="F100" t="s">
        <v>32</v>
      </c>
      <c r="G100">
        <v>30.69529</v>
      </c>
      <c r="H100">
        <v>0.49147400000000002</v>
      </c>
      <c r="I100">
        <v>7</v>
      </c>
      <c r="J100">
        <v>2109.29</v>
      </c>
      <c r="K100">
        <v>415.29</v>
      </c>
      <c r="L100">
        <v>750.14</v>
      </c>
      <c r="M100">
        <v>1694</v>
      </c>
      <c r="N100">
        <v>88.43</v>
      </c>
      <c r="O100">
        <v>195.14</v>
      </c>
      <c r="P100">
        <v>19</v>
      </c>
      <c r="Q100">
        <v>0.56999999999999995</v>
      </c>
      <c r="R100">
        <v>2.4300000000000002</v>
      </c>
      <c r="S100">
        <v>50.71</v>
      </c>
      <c r="T100">
        <v>37.43</v>
      </c>
      <c r="U100">
        <v>21.57</v>
      </c>
      <c r="V100">
        <v>2.0400000000000001E-3</v>
      </c>
      <c r="W100">
        <v>2021</v>
      </c>
      <c r="X100" t="s">
        <v>33</v>
      </c>
      <c r="Y100" t="s">
        <v>34</v>
      </c>
    </row>
    <row r="101" spans="1:25" x14ac:dyDescent="0.25">
      <c r="A101" t="s">
        <v>343</v>
      </c>
      <c r="B101" t="s">
        <v>344</v>
      </c>
      <c r="C101" t="s">
        <v>345</v>
      </c>
      <c r="D101" t="s">
        <v>161</v>
      </c>
      <c r="E101" t="s">
        <v>96</v>
      </c>
      <c r="F101" t="s">
        <v>32</v>
      </c>
      <c r="G101">
        <v>34.164639999999999</v>
      </c>
      <c r="H101">
        <v>1.14575</v>
      </c>
      <c r="I101">
        <v>14</v>
      </c>
      <c r="J101">
        <v>2099</v>
      </c>
      <c r="K101">
        <v>565.57000000000005</v>
      </c>
      <c r="L101">
        <v>25.29</v>
      </c>
      <c r="M101">
        <v>1533.43</v>
      </c>
      <c r="N101">
        <v>127.71</v>
      </c>
      <c r="O101">
        <v>121.43</v>
      </c>
      <c r="P101">
        <v>117.43</v>
      </c>
      <c r="Q101">
        <v>1.71</v>
      </c>
      <c r="R101">
        <v>8.86</v>
      </c>
      <c r="S101">
        <v>56.43</v>
      </c>
      <c r="T101">
        <v>78</v>
      </c>
      <c r="U101">
        <v>54</v>
      </c>
      <c r="V101">
        <v>2.0300000000000001E-3</v>
      </c>
      <c r="W101">
        <v>2021</v>
      </c>
      <c r="X101" t="s">
        <v>33</v>
      </c>
      <c r="Y101" t="s">
        <v>34</v>
      </c>
    </row>
    <row r="102" spans="1:25" x14ac:dyDescent="0.25">
      <c r="A102" t="s">
        <v>346</v>
      </c>
      <c r="B102" t="s">
        <v>347</v>
      </c>
      <c r="C102" t="s">
        <v>348</v>
      </c>
      <c r="D102" t="s">
        <v>73</v>
      </c>
      <c r="E102" t="s">
        <v>31</v>
      </c>
      <c r="F102" t="s">
        <v>32</v>
      </c>
      <c r="G102">
        <v>31.256477</v>
      </c>
      <c r="H102">
        <v>0.90231300000000003</v>
      </c>
      <c r="I102">
        <v>0</v>
      </c>
      <c r="J102">
        <v>2070.4299999999998</v>
      </c>
      <c r="K102">
        <v>371.43</v>
      </c>
      <c r="L102">
        <v>56.29</v>
      </c>
      <c r="M102">
        <v>1699</v>
      </c>
      <c r="N102">
        <v>170.86</v>
      </c>
      <c r="O102">
        <v>60.71</v>
      </c>
      <c r="P102">
        <v>41.71</v>
      </c>
      <c r="Q102">
        <v>0.28999999999999998</v>
      </c>
      <c r="R102">
        <v>0</v>
      </c>
      <c r="S102">
        <v>42.43</v>
      </c>
      <c r="T102">
        <v>52.43</v>
      </c>
      <c r="U102">
        <v>3</v>
      </c>
      <c r="V102">
        <v>2.003E-3</v>
      </c>
      <c r="W102">
        <v>2021</v>
      </c>
      <c r="X102" t="s">
        <v>33</v>
      </c>
      <c r="Y102" t="s">
        <v>34</v>
      </c>
    </row>
    <row r="103" spans="1:25" x14ac:dyDescent="0.25">
      <c r="A103" t="s">
        <v>349</v>
      </c>
      <c r="B103" t="s">
        <v>350</v>
      </c>
      <c r="C103" t="s">
        <v>351</v>
      </c>
      <c r="D103" t="s">
        <v>95</v>
      </c>
      <c r="E103" t="s">
        <v>96</v>
      </c>
      <c r="F103" t="s">
        <v>32</v>
      </c>
      <c r="G103">
        <v>33.235365999999999</v>
      </c>
      <c r="H103">
        <v>0.465198</v>
      </c>
      <c r="I103">
        <v>7</v>
      </c>
      <c r="J103">
        <v>2012.14</v>
      </c>
      <c r="K103">
        <v>584.71</v>
      </c>
      <c r="L103">
        <v>95</v>
      </c>
      <c r="M103">
        <v>1427.43</v>
      </c>
      <c r="N103">
        <v>281.14</v>
      </c>
      <c r="O103">
        <v>131.13999999999999</v>
      </c>
      <c r="P103">
        <v>35.29</v>
      </c>
      <c r="Q103">
        <v>3</v>
      </c>
      <c r="R103">
        <v>1.29</v>
      </c>
      <c r="S103">
        <v>45</v>
      </c>
      <c r="T103">
        <v>35.57</v>
      </c>
      <c r="U103">
        <v>52.29</v>
      </c>
      <c r="V103">
        <v>1.946E-3</v>
      </c>
      <c r="W103">
        <v>2021</v>
      </c>
      <c r="X103" t="s">
        <v>33</v>
      </c>
      <c r="Y103" t="s">
        <v>34</v>
      </c>
    </row>
    <row r="104" spans="1:25" x14ac:dyDescent="0.25">
      <c r="A104" t="s">
        <v>352</v>
      </c>
      <c r="B104" t="s">
        <v>353</v>
      </c>
      <c r="C104" t="s">
        <v>354</v>
      </c>
      <c r="D104" t="s">
        <v>69</v>
      </c>
      <c r="E104" t="s">
        <v>31</v>
      </c>
      <c r="F104" t="s">
        <v>32</v>
      </c>
      <c r="G104">
        <v>32.466247000000003</v>
      </c>
      <c r="H104">
        <v>0.61554500000000001</v>
      </c>
      <c r="I104">
        <v>0</v>
      </c>
      <c r="J104">
        <v>1985.57</v>
      </c>
      <c r="K104">
        <v>236.57</v>
      </c>
      <c r="L104">
        <v>157.29</v>
      </c>
      <c r="M104">
        <v>1749</v>
      </c>
      <c r="N104">
        <v>90.29</v>
      </c>
      <c r="O104">
        <v>60.71</v>
      </c>
      <c r="P104">
        <v>19.43</v>
      </c>
      <c r="Q104">
        <v>4.57</v>
      </c>
      <c r="R104">
        <v>0</v>
      </c>
      <c r="S104">
        <v>53.86</v>
      </c>
      <c r="T104">
        <v>7.71</v>
      </c>
      <c r="U104">
        <v>0</v>
      </c>
      <c r="V104">
        <v>1.921E-3</v>
      </c>
      <c r="W104">
        <v>2021</v>
      </c>
      <c r="X104" t="s">
        <v>33</v>
      </c>
      <c r="Y104" t="s">
        <v>34</v>
      </c>
    </row>
    <row r="105" spans="1:25" x14ac:dyDescent="0.25">
      <c r="A105" t="s">
        <v>355</v>
      </c>
      <c r="B105" t="s">
        <v>356</v>
      </c>
      <c r="C105" t="s">
        <v>357</v>
      </c>
      <c r="D105" t="s">
        <v>358</v>
      </c>
      <c r="E105" t="s">
        <v>166</v>
      </c>
      <c r="F105" t="s">
        <v>32</v>
      </c>
      <c r="G105">
        <v>30.886714999999999</v>
      </c>
      <c r="H105">
        <v>-0.86528799999999995</v>
      </c>
      <c r="I105">
        <v>7</v>
      </c>
      <c r="J105">
        <v>1952</v>
      </c>
      <c r="K105">
        <v>644</v>
      </c>
      <c r="L105">
        <v>56.29</v>
      </c>
      <c r="M105">
        <v>1308</v>
      </c>
      <c r="N105">
        <v>105</v>
      </c>
      <c r="O105">
        <v>256.29000000000002</v>
      </c>
      <c r="P105">
        <v>66.569999999999993</v>
      </c>
      <c r="Q105">
        <v>4.71</v>
      </c>
      <c r="R105">
        <v>23.86</v>
      </c>
      <c r="S105">
        <v>29.14</v>
      </c>
      <c r="T105">
        <v>137.86000000000001</v>
      </c>
      <c r="U105">
        <v>20.57</v>
      </c>
      <c r="V105">
        <v>1.8879999999999999E-3</v>
      </c>
      <c r="W105">
        <v>2021</v>
      </c>
      <c r="X105" t="s">
        <v>33</v>
      </c>
      <c r="Y105" t="s">
        <v>34</v>
      </c>
    </row>
    <row r="106" spans="1:25" x14ac:dyDescent="0.25">
      <c r="A106" t="s">
        <v>359</v>
      </c>
      <c r="B106" t="s">
        <v>360</v>
      </c>
      <c r="C106" t="s">
        <v>361</v>
      </c>
      <c r="D106" t="s">
        <v>358</v>
      </c>
      <c r="E106" t="s">
        <v>166</v>
      </c>
      <c r="F106" t="s">
        <v>32</v>
      </c>
      <c r="G106">
        <v>30.706505</v>
      </c>
      <c r="H106">
        <v>-0.86415699999999995</v>
      </c>
      <c r="I106">
        <v>7</v>
      </c>
      <c r="J106">
        <v>1952</v>
      </c>
      <c r="K106">
        <v>644</v>
      </c>
      <c r="L106">
        <v>56.29</v>
      </c>
      <c r="M106">
        <v>1308</v>
      </c>
      <c r="N106">
        <v>105</v>
      </c>
      <c r="O106">
        <v>256.29000000000002</v>
      </c>
      <c r="P106">
        <v>66.569999999999993</v>
      </c>
      <c r="Q106">
        <v>4.71</v>
      </c>
      <c r="R106">
        <v>23.86</v>
      </c>
      <c r="S106">
        <v>29.14</v>
      </c>
      <c r="T106">
        <v>137.86000000000001</v>
      </c>
      <c r="U106">
        <v>20.57</v>
      </c>
      <c r="V106">
        <v>1.8879999999999999E-3</v>
      </c>
      <c r="W106">
        <v>2021</v>
      </c>
      <c r="X106" t="s">
        <v>33</v>
      </c>
      <c r="Y106" t="s">
        <v>34</v>
      </c>
    </row>
    <row r="107" spans="1:25" x14ac:dyDescent="0.25">
      <c r="A107" t="s">
        <v>362</v>
      </c>
      <c r="B107" t="s">
        <v>363</v>
      </c>
      <c r="C107" t="s">
        <v>364</v>
      </c>
      <c r="D107" t="s">
        <v>358</v>
      </c>
      <c r="E107" t="s">
        <v>166</v>
      </c>
      <c r="F107" t="s">
        <v>32</v>
      </c>
      <c r="G107">
        <v>30.606583000000001</v>
      </c>
      <c r="H107">
        <v>-0.78331200000000001</v>
      </c>
      <c r="I107">
        <v>7</v>
      </c>
      <c r="J107">
        <v>1952</v>
      </c>
      <c r="K107">
        <v>644</v>
      </c>
      <c r="L107">
        <v>56.29</v>
      </c>
      <c r="M107">
        <v>1308</v>
      </c>
      <c r="N107">
        <v>105</v>
      </c>
      <c r="O107">
        <v>256.29000000000002</v>
      </c>
      <c r="P107">
        <v>66.569999999999993</v>
      </c>
      <c r="Q107">
        <v>4.71</v>
      </c>
      <c r="R107">
        <v>23.86</v>
      </c>
      <c r="S107">
        <v>29.14</v>
      </c>
      <c r="T107">
        <v>137.86000000000001</v>
      </c>
      <c r="U107">
        <v>20.57</v>
      </c>
      <c r="V107">
        <v>1.8879999999999999E-3</v>
      </c>
      <c r="W107">
        <v>2021</v>
      </c>
      <c r="X107" t="s">
        <v>33</v>
      </c>
      <c r="Y107" t="s">
        <v>34</v>
      </c>
    </row>
    <row r="108" spans="1:25" x14ac:dyDescent="0.25">
      <c r="A108" t="s">
        <v>365</v>
      </c>
      <c r="B108" t="s">
        <v>366</v>
      </c>
      <c r="C108" t="s">
        <v>367</v>
      </c>
      <c r="D108" t="s">
        <v>146</v>
      </c>
      <c r="E108" t="s">
        <v>48</v>
      </c>
      <c r="F108" t="s">
        <v>32</v>
      </c>
      <c r="G108">
        <v>32.755290899999999</v>
      </c>
      <c r="H108">
        <v>1.6115888899999999</v>
      </c>
      <c r="I108">
        <v>0</v>
      </c>
      <c r="J108">
        <v>1900.43</v>
      </c>
      <c r="K108">
        <v>986.71</v>
      </c>
      <c r="L108">
        <v>72.290000000000006</v>
      </c>
      <c r="M108">
        <v>913.71</v>
      </c>
      <c r="N108">
        <v>298.29000000000002</v>
      </c>
      <c r="O108">
        <v>225.43</v>
      </c>
      <c r="P108">
        <v>195.71</v>
      </c>
      <c r="Q108">
        <v>0</v>
      </c>
      <c r="R108">
        <v>8</v>
      </c>
      <c r="S108">
        <v>130.57</v>
      </c>
      <c r="T108">
        <v>87.43</v>
      </c>
      <c r="U108">
        <v>41.29</v>
      </c>
      <c r="V108">
        <v>1.838E-3</v>
      </c>
      <c r="W108">
        <v>2021</v>
      </c>
      <c r="X108" t="s">
        <v>33</v>
      </c>
      <c r="Y108" t="s">
        <v>34</v>
      </c>
    </row>
    <row r="109" spans="1:25" x14ac:dyDescent="0.25">
      <c r="A109" t="s">
        <v>368</v>
      </c>
      <c r="B109" t="s">
        <v>369</v>
      </c>
      <c r="C109" t="s">
        <v>370</v>
      </c>
      <c r="D109" t="s">
        <v>62</v>
      </c>
      <c r="E109" t="s">
        <v>31</v>
      </c>
      <c r="F109" t="s">
        <v>32</v>
      </c>
      <c r="G109">
        <v>31.152799999999999</v>
      </c>
      <c r="H109">
        <v>-0.201182</v>
      </c>
      <c r="I109">
        <v>0</v>
      </c>
      <c r="J109">
        <v>1877.29</v>
      </c>
      <c r="K109">
        <v>646.14</v>
      </c>
      <c r="L109">
        <v>49.71</v>
      </c>
      <c r="M109">
        <v>1231.1400000000001</v>
      </c>
      <c r="N109">
        <v>289.29000000000002</v>
      </c>
      <c r="O109">
        <v>154.86000000000001</v>
      </c>
      <c r="P109">
        <v>7.57</v>
      </c>
      <c r="Q109">
        <v>0.28999999999999998</v>
      </c>
      <c r="R109">
        <v>0.28999999999999998</v>
      </c>
      <c r="S109">
        <v>104</v>
      </c>
      <c r="T109">
        <v>89.86</v>
      </c>
      <c r="U109">
        <v>0</v>
      </c>
      <c r="V109">
        <v>1.8159999999999999E-3</v>
      </c>
      <c r="W109">
        <v>2021</v>
      </c>
      <c r="X109" t="s">
        <v>33</v>
      </c>
      <c r="Y109" t="s">
        <v>34</v>
      </c>
    </row>
    <row r="110" spans="1:25" x14ac:dyDescent="0.25">
      <c r="A110" t="s">
        <v>371</v>
      </c>
      <c r="B110" t="s">
        <v>372</v>
      </c>
      <c r="C110" t="s">
        <v>373</v>
      </c>
      <c r="D110" t="s">
        <v>95</v>
      </c>
      <c r="E110" t="s">
        <v>96</v>
      </c>
      <c r="F110" t="s">
        <v>32</v>
      </c>
      <c r="G110">
        <v>33.333222999999997</v>
      </c>
      <c r="H110">
        <v>0.51134999999999997</v>
      </c>
      <c r="I110">
        <v>7</v>
      </c>
      <c r="J110">
        <v>1875.71</v>
      </c>
      <c r="K110">
        <v>1239.43</v>
      </c>
      <c r="L110">
        <v>19.29</v>
      </c>
      <c r="M110">
        <v>636.29</v>
      </c>
      <c r="N110">
        <v>336.57</v>
      </c>
      <c r="O110">
        <v>240.29</v>
      </c>
      <c r="P110">
        <v>242.43</v>
      </c>
      <c r="Q110">
        <v>15.57</v>
      </c>
      <c r="R110">
        <v>11.14</v>
      </c>
      <c r="S110">
        <v>123.29</v>
      </c>
      <c r="T110">
        <v>135.43</v>
      </c>
      <c r="U110">
        <v>134.71</v>
      </c>
      <c r="V110">
        <v>1.8140000000000001E-3</v>
      </c>
      <c r="W110">
        <v>2021</v>
      </c>
      <c r="X110" t="s">
        <v>33</v>
      </c>
      <c r="Y110" t="s">
        <v>34</v>
      </c>
    </row>
    <row r="111" spans="1:25" x14ac:dyDescent="0.25">
      <c r="A111" t="s">
        <v>374</v>
      </c>
      <c r="B111" t="s">
        <v>375</v>
      </c>
      <c r="C111" t="s">
        <v>376</v>
      </c>
      <c r="D111" t="s">
        <v>111</v>
      </c>
      <c r="E111" t="s">
        <v>112</v>
      </c>
      <c r="F111" t="s">
        <v>32</v>
      </c>
      <c r="G111">
        <v>31.585270000000001</v>
      </c>
      <c r="H111">
        <v>1.0021880000000001</v>
      </c>
      <c r="I111">
        <v>7</v>
      </c>
      <c r="J111">
        <v>1788.57</v>
      </c>
      <c r="K111">
        <v>955</v>
      </c>
      <c r="L111">
        <v>408.29</v>
      </c>
      <c r="M111">
        <v>833.57</v>
      </c>
      <c r="N111">
        <v>33.29</v>
      </c>
      <c r="O111">
        <v>42.71</v>
      </c>
      <c r="P111">
        <v>15.14</v>
      </c>
      <c r="Q111">
        <v>0.71</v>
      </c>
      <c r="R111">
        <v>0.28999999999999998</v>
      </c>
      <c r="S111">
        <v>33.14</v>
      </c>
      <c r="T111">
        <v>442.29</v>
      </c>
      <c r="U111">
        <v>387.43</v>
      </c>
      <c r="V111">
        <v>1.73E-3</v>
      </c>
      <c r="W111">
        <v>2021</v>
      </c>
      <c r="X111" t="s">
        <v>33</v>
      </c>
      <c r="Y111" t="s">
        <v>34</v>
      </c>
    </row>
    <row r="112" spans="1:25" x14ac:dyDescent="0.25">
      <c r="A112" t="s">
        <v>377</v>
      </c>
      <c r="B112" t="s">
        <v>378</v>
      </c>
      <c r="C112" t="s">
        <v>379</v>
      </c>
      <c r="D112" t="s">
        <v>69</v>
      </c>
      <c r="E112" t="s">
        <v>31</v>
      </c>
      <c r="F112" t="s">
        <v>32</v>
      </c>
      <c r="G112">
        <v>32.450018999999998</v>
      </c>
      <c r="H112">
        <v>0.669153</v>
      </c>
      <c r="I112">
        <v>0</v>
      </c>
      <c r="J112">
        <v>1754.29</v>
      </c>
      <c r="K112">
        <v>297.14</v>
      </c>
      <c r="L112">
        <v>32.86</v>
      </c>
      <c r="M112">
        <v>1457.14</v>
      </c>
      <c r="N112">
        <v>57</v>
      </c>
      <c r="O112">
        <v>92.86</v>
      </c>
      <c r="P112">
        <v>46</v>
      </c>
      <c r="Q112">
        <v>2.71</v>
      </c>
      <c r="R112">
        <v>0.28999999999999998</v>
      </c>
      <c r="S112">
        <v>71.14</v>
      </c>
      <c r="T112">
        <v>27.14</v>
      </c>
      <c r="U112">
        <v>0</v>
      </c>
      <c r="V112">
        <v>1.6969999999999999E-3</v>
      </c>
      <c r="W112">
        <v>2021</v>
      </c>
      <c r="X112" t="s">
        <v>33</v>
      </c>
      <c r="Y112" t="s">
        <v>34</v>
      </c>
    </row>
    <row r="113" spans="1:25" x14ac:dyDescent="0.25">
      <c r="A113" t="s">
        <v>380</v>
      </c>
      <c r="B113" t="s">
        <v>381</v>
      </c>
      <c r="C113" t="s">
        <v>382</v>
      </c>
      <c r="D113" t="s">
        <v>30</v>
      </c>
      <c r="E113" t="s">
        <v>31</v>
      </c>
      <c r="F113" t="s">
        <v>32</v>
      </c>
      <c r="G113">
        <v>33.000427999999999</v>
      </c>
      <c r="H113">
        <v>0.61815500000000001</v>
      </c>
      <c r="I113">
        <v>0</v>
      </c>
      <c r="J113">
        <v>1715.71</v>
      </c>
      <c r="K113">
        <v>1154.57</v>
      </c>
      <c r="L113">
        <v>97</v>
      </c>
      <c r="M113">
        <v>561.14</v>
      </c>
      <c r="N113">
        <v>134.13999999999999</v>
      </c>
      <c r="O113">
        <v>303.29000000000002</v>
      </c>
      <c r="P113">
        <v>236.29</v>
      </c>
      <c r="Q113">
        <v>4.43</v>
      </c>
      <c r="R113">
        <v>12.29</v>
      </c>
      <c r="S113">
        <v>144.13999999999999</v>
      </c>
      <c r="T113">
        <v>259.86</v>
      </c>
      <c r="U113">
        <v>60.14</v>
      </c>
      <c r="V113">
        <v>1.66E-3</v>
      </c>
      <c r="W113">
        <v>2021</v>
      </c>
      <c r="X113" t="s">
        <v>33</v>
      </c>
      <c r="Y113" t="s">
        <v>34</v>
      </c>
    </row>
    <row r="114" spans="1:25" x14ac:dyDescent="0.25">
      <c r="A114" t="s">
        <v>383</v>
      </c>
      <c r="B114" t="s">
        <v>384</v>
      </c>
      <c r="C114" t="s">
        <v>385</v>
      </c>
      <c r="D114" t="s">
        <v>170</v>
      </c>
      <c r="E114" t="s">
        <v>166</v>
      </c>
      <c r="F114" t="s">
        <v>32</v>
      </c>
      <c r="G114">
        <v>29.888180999999999</v>
      </c>
      <c r="H114">
        <v>-1.3963049999999999</v>
      </c>
      <c r="I114">
        <v>7</v>
      </c>
      <c r="J114">
        <v>1710.43</v>
      </c>
      <c r="K114">
        <v>332.71</v>
      </c>
      <c r="L114">
        <v>347.43</v>
      </c>
      <c r="M114">
        <v>1377.71</v>
      </c>
      <c r="N114">
        <v>98.57</v>
      </c>
      <c r="O114">
        <v>106.14</v>
      </c>
      <c r="P114">
        <v>6</v>
      </c>
      <c r="Q114">
        <v>3.57</v>
      </c>
      <c r="R114">
        <v>0.28999999999999998</v>
      </c>
      <c r="S114">
        <v>86.86</v>
      </c>
      <c r="T114">
        <v>30.57</v>
      </c>
      <c r="U114">
        <v>0.71</v>
      </c>
      <c r="V114">
        <v>1.6540000000000001E-3</v>
      </c>
      <c r="W114">
        <v>2021</v>
      </c>
      <c r="X114" t="s">
        <v>33</v>
      </c>
      <c r="Y114" t="s">
        <v>34</v>
      </c>
    </row>
    <row r="115" spans="1:25" x14ac:dyDescent="0.25">
      <c r="A115" t="s">
        <v>386</v>
      </c>
      <c r="B115" t="s">
        <v>387</v>
      </c>
      <c r="C115" t="s">
        <v>388</v>
      </c>
      <c r="D115" t="s">
        <v>52</v>
      </c>
      <c r="E115" t="s">
        <v>31</v>
      </c>
      <c r="F115" t="s">
        <v>32</v>
      </c>
      <c r="G115">
        <v>31.614128999999998</v>
      </c>
      <c r="H115">
        <v>0.137016</v>
      </c>
      <c r="I115">
        <v>0</v>
      </c>
      <c r="J115">
        <v>1710</v>
      </c>
      <c r="K115">
        <v>902.29</v>
      </c>
      <c r="L115">
        <v>80.430000000000007</v>
      </c>
      <c r="M115">
        <v>807.71</v>
      </c>
      <c r="N115">
        <v>210</v>
      </c>
      <c r="O115">
        <v>271.29000000000002</v>
      </c>
      <c r="P115">
        <v>96.86</v>
      </c>
      <c r="Q115">
        <v>1</v>
      </c>
      <c r="R115">
        <v>0</v>
      </c>
      <c r="S115">
        <v>187.43</v>
      </c>
      <c r="T115">
        <v>129.43</v>
      </c>
      <c r="U115">
        <v>6.29</v>
      </c>
      <c r="V115">
        <v>1.6540000000000001E-3</v>
      </c>
      <c r="W115">
        <v>2021</v>
      </c>
      <c r="X115" t="s">
        <v>33</v>
      </c>
      <c r="Y115" t="s">
        <v>34</v>
      </c>
    </row>
    <row r="116" spans="1:25" x14ac:dyDescent="0.25">
      <c r="A116" t="s">
        <v>389</v>
      </c>
      <c r="B116" t="s">
        <v>390</v>
      </c>
      <c r="C116" t="s">
        <v>391</v>
      </c>
      <c r="D116" t="s">
        <v>62</v>
      </c>
      <c r="E116" t="s">
        <v>31</v>
      </c>
      <c r="F116" t="s">
        <v>32</v>
      </c>
      <c r="G116">
        <v>31.273724999999999</v>
      </c>
      <c r="H116">
        <v>-0.24354000000000001</v>
      </c>
      <c r="I116">
        <v>0</v>
      </c>
      <c r="J116">
        <v>1707.14</v>
      </c>
      <c r="K116">
        <v>193.14</v>
      </c>
      <c r="L116">
        <v>72.86</v>
      </c>
      <c r="M116">
        <v>1514</v>
      </c>
      <c r="N116">
        <v>95.14</v>
      </c>
      <c r="O116">
        <v>26.86</v>
      </c>
      <c r="P116">
        <v>6.71</v>
      </c>
      <c r="Q116">
        <v>0</v>
      </c>
      <c r="R116">
        <v>0</v>
      </c>
      <c r="S116">
        <v>44.86</v>
      </c>
      <c r="T116">
        <v>18.86</v>
      </c>
      <c r="U116">
        <v>0.71</v>
      </c>
      <c r="V116">
        <v>1.6509999999999999E-3</v>
      </c>
      <c r="W116">
        <v>2021</v>
      </c>
      <c r="X116" t="s">
        <v>33</v>
      </c>
      <c r="Y116" t="s">
        <v>34</v>
      </c>
    </row>
    <row r="117" spans="1:25" x14ac:dyDescent="0.25">
      <c r="A117" t="s">
        <v>392</v>
      </c>
      <c r="B117" t="s">
        <v>393</v>
      </c>
      <c r="C117" t="s">
        <v>394</v>
      </c>
      <c r="D117" t="s">
        <v>165</v>
      </c>
      <c r="E117" t="s">
        <v>166</v>
      </c>
      <c r="F117" t="s">
        <v>32</v>
      </c>
      <c r="G117">
        <v>30.224374999999998</v>
      </c>
      <c r="H117">
        <v>0.34525699999999998</v>
      </c>
      <c r="I117">
        <v>7</v>
      </c>
      <c r="J117">
        <v>1684</v>
      </c>
      <c r="K117">
        <v>905.14</v>
      </c>
      <c r="L117">
        <v>71.569999999999993</v>
      </c>
      <c r="M117">
        <v>778.86</v>
      </c>
      <c r="N117">
        <v>158.71</v>
      </c>
      <c r="O117">
        <v>135</v>
      </c>
      <c r="P117">
        <v>41.71</v>
      </c>
      <c r="Q117">
        <v>9.2899999999999991</v>
      </c>
      <c r="R117">
        <v>3.14</v>
      </c>
      <c r="S117">
        <v>138.86000000000001</v>
      </c>
      <c r="T117">
        <v>405.57</v>
      </c>
      <c r="U117">
        <v>12.86</v>
      </c>
      <c r="V117">
        <v>1.629E-3</v>
      </c>
      <c r="W117">
        <v>2021</v>
      </c>
      <c r="X117" t="s">
        <v>33</v>
      </c>
      <c r="Y117" t="s">
        <v>34</v>
      </c>
    </row>
    <row r="118" spans="1:25" x14ac:dyDescent="0.25">
      <c r="A118" t="s">
        <v>395</v>
      </c>
      <c r="B118" t="s">
        <v>396</v>
      </c>
      <c r="C118" t="s">
        <v>397</v>
      </c>
      <c r="D118" t="s">
        <v>161</v>
      </c>
      <c r="E118" t="s">
        <v>96</v>
      </c>
      <c r="F118" t="s">
        <v>32</v>
      </c>
      <c r="G118">
        <v>34.264364999999998</v>
      </c>
      <c r="H118">
        <v>1.1471739999999999</v>
      </c>
      <c r="I118">
        <v>7</v>
      </c>
      <c r="J118">
        <v>1679</v>
      </c>
      <c r="K118">
        <v>321.43</v>
      </c>
      <c r="L118">
        <v>399.43</v>
      </c>
      <c r="M118">
        <v>1357.57</v>
      </c>
      <c r="N118">
        <v>86.14</v>
      </c>
      <c r="O118">
        <v>127.14</v>
      </c>
      <c r="P118">
        <v>13.57</v>
      </c>
      <c r="Q118">
        <v>3</v>
      </c>
      <c r="R118">
        <v>2.4300000000000002</v>
      </c>
      <c r="S118">
        <v>53</v>
      </c>
      <c r="T118">
        <v>30.57</v>
      </c>
      <c r="U118">
        <v>5.57</v>
      </c>
      <c r="V118">
        <v>1.624E-3</v>
      </c>
      <c r="W118">
        <v>2021</v>
      </c>
      <c r="X118" t="s">
        <v>33</v>
      </c>
      <c r="Y118" t="s">
        <v>34</v>
      </c>
    </row>
    <row r="119" spans="1:25" x14ac:dyDescent="0.25">
      <c r="A119" t="s">
        <v>398</v>
      </c>
      <c r="B119" t="s">
        <v>399</v>
      </c>
      <c r="C119" t="s">
        <v>400</v>
      </c>
      <c r="D119" t="s">
        <v>170</v>
      </c>
      <c r="E119" t="s">
        <v>166</v>
      </c>
      <c r="F119" t="s">
        <v>32</v>
      </c>
      <c r="G119">
        <v>29.973939000000001</v>
      </c>
      <c r="H119">
        <v>-0.63981900000000003</v>
      </c>
      <c r="I119">
        <v>7</v>
      </c>
      <c r="J119">
        <v>1678.57</v>
      </c>
      <c r="K119">
        <v>359</v>
      </c>
      <c r="L119">
        <v>533.42999999999995</v>
      </c>
      <c r="M119">
        <v>1319.57</v>
      </c>
      <c r="N119">
        <v>109.43</v>
      </c>
      <c r="O119">
        <v>78</v>
      </c>
      <c r="P119">
        <v>38.43</v>
      </c>
      <c r="Q119">
        <v>7.14</v>
      </c>
      <c r="R119">
        <v>3.86</v>
      </c>
      <c r="S119">
        <v>68.430000000000007</v>
      </c>
      <c r="T119">
        <v>38.57</v>
      </c>
      <c r="U119">
        <v>15.14</v>
      </c>
      <c r="V119">
        <v>1.624E-3</v>
      </c>
      <c r="W119">
        <v>2021</v>
      </c>
      <c r="X119" t="s">
        <v>33</v>
      </c>
      <c r="Y119" t="s">
        <v>34</v>
      </c>
    </row>
    <row r="120" spans="1:25" x14ac:dyDescent="0.25">
      <c r="A120" t="s">
        <v>401</v>
      </c>
      <c r="B120" t="s">
        <v>402</v>
      </c>
      <c r="C120" t="s">
        <v>403</v>
      </c>
      <c r="D120" t="s">
        <v>73</v>
      </c>
      <c r="E120" t="s">
        <v>31</v>
      </c>
      <c r="F120" t="s">
        <v>32</v>
      </c>
      <c r="G120">
        <v>31.455950000000001</v>
      </c>
      <c r="H120">
        <v>0.65517899999999996</v>
      </c>
      <c r="I120">
        <v>0</v>
      </c>
      <c r="J120">
        <v>1658.43</v>
      </c>
      <c r="K120">
        <v>289.70999999999998</v>
      </c>
      <c r="L120">
        <v>24.57</v>
      </c>
      <c r="M120">
        <v>1368.71</v>
      </c>
      <c r="N120">
        <v>63.71</v>
      </c>
      <c r="O120">
        <v>37</v>
      </c>
      <c r="P120">
        <v>14.29</v>
      </c>
      <c r="Q120">
        <v>0.28999999999999998</v>
      </c>
      <c r="R120">
        <v>0</v>
      </c>
      <c r="S120">
        <v>71.430000000000007</v>
      </c>
      <c r="T120">
        <v>61.29</v>
      </c>
      <c r="U120">
        <v>41.71</v>
      </c>
      <c r="V120">
        <v>1.604E-3</v>
      </c>
      <c r="W120">
        <v>2021</v>
      </c>
      <c r="X120" t="s">
        <v>33</v>
      </c>
      <c r="Y120" t="s">
        <v>34</v>
      </c>
    </row>
    <row r="121" spans="1:25" x14ac:dyDescent="0.25">
      <c r="A121" t="s">
        <v>404</v>
      </c>
      <c r="B121" t="s">
        <v>405</v>
      </c>
      <c r="C121" t="s">
        <v>406</v>
      </c>
      <c r="D121" t="s">
        <v>161</v>
      </c>
      <c r="E121" t="s">
        <v>96</v>
      </c>
      <c r="F121" t="s">
        <v>32</v>
      </c>
      <c r="G121">
        <v>34.182164999999998</v>
      </c>
      <c r="H121">
        <v>1.1384240000000001</v>
      </c>
      <c r="I121">
        <v>7</v>
      </c>
      <c r="J121">
        <v>1635</v>
      </c>
      <c r="K121">
        <v>550.14</v>
      </c>
      <c r="L121">
        <v>64.569999999999993</v>
      </c>
      <c r="M121">
        <v>1084.8599999999999</v>
      </c>
      <c r="N121">
        <v>237.71</v>
      </c>
      <c r="O121">
        <v>113.29</v>
      </c>
      <c r="P121">
        <v>37</v>
      </c>
      <c r="Q121">
        <v>0.71</v>
      </c>
      <c r="R121">
        <v>5.86</v>
      </c>
      <c r="S121">
        <v>69.290000000000006</v>
      </c>
      <c r="T121">
        <v>66.569999999999993</v>
      </c>
      <c r="U121">
        <v>19.71</v>
      </c>
      <c r="V121">
        <v>1.5809999999999999E-3</v>
      </c>
      <c r="W121">
        <v>2021</v>
      </c>
      <c r="X121" t="s">
        <v>33</v>
      </c>
      <c r="Y121" t="s">
        <v>34</v>
      </c>
    </row>
    <row r="122" spans="1:25" x14ac:dyDescent="0.25">
      <c r="A122" t="s">
        <v>407</v>
      </c>
      <c r="B122" t="s">
        <v>408</v>
      </c>
      <c r="C122" t="s">
        <v>409</v>
      </c>
      <c r="D122" t="s">
        <v>358</v>
      </c>
      <c r="E122" t="s">
        <v>166</v>
      </c>
      <c r="F122" t="s">
        <v>32</v>
      </c>
      <c r="G122">
        <v>30.705784000000001</v>
      </c>
      <c r="H122">
        <v>-1.012378</v>
      </c>
      <c r="I122">
        <v>7</v>
      </c>
      <c r="J122">
        <v>1623.29</v>
      </c>
      <c r="K122">
        <v>122</v>
      </c>
      <c r="L122">
        <v>258.14</v>
      </c>
      <c r="M122">
        <v>1501.29</v>
      </c>
      <c r="N122">
        <v>26.86</v>
      </c>
      <c r="O122">
        <v>22</v>
      </c>
      <c r="P122">
        <v>12.14</v>
      </c>
      <c r="Q122">
        <v>1.43</v>
      </c>
      <c r="R122">
        <v>0</v>
      </c>
      <c r="S122">
        <v>32</v>
      </c>
      <c r="T122">
        <v>25.43</v>
      </c>
      <c r="U122">
        <v>2.14</v>
      </c>
      <c r="V122">
        <v>1.57E-3</v>
      </c>
      <c r="W122">
        <v>2021</v>
      </c>
      <c r="X122" t="s">
        <v>33</v>
      </c>
      <c r="Y122" t="s">
        <v>34</v>
      </c>
    </row>
    <row r="123" spans="1:25" x14ac:dyDescent="0.25">
      <c r="A123" t="s">
        <v>410</v>
      </c>
      <c r="B123" t="s">
        <v>411</v>
      </c>
      <c r="C123" t="s">
        <v>412</v>
      </c>
      <c r="D123" t="s">
        <v>95</v>
      </c>
      <c r="E123" t="s">
        <v>96</v>
      </c>
      <c r="F123" t="s">
        <v>32</v>
      </c>
      <c r="G123">
        <v>33.026060999999999</v>
      </c>
      <c r="H123">
        <v>0.95874499999999996</v>
      </c>
      <c r="I123">
        <v>7</v>
      </c>
      <c r="J123">
        <v>1590.43</v>
      </c>
      <c r="K123">
        <v>280.14</v>
      </c>
      <c r="L123">
        <v>195.43</v>
      </c>
      <c r="M123">
        <v>1310.29</v>
      </c>
      <c r="N123">
        <v>49.29</v>
      </c>
      <c r="O123">
        <v>101.86</v>
      </c>
      <c r="P123">
        <v>19.14</v>
      </c>
      <c r="Q123">
        <v>4.71</v>
      </c>
      <c r="R123">
        <v>8.43</v>
      </c>
      <c r="S123">
        <v>28.86</v>
      </c>
      <c r="T123">
        <v>56.14</v>
      </c>
      <c r="U123">
        <v>11.71</v>
      </c>
      <c r="V123">
        <v>1.5380000000000001E-3</v>
      </c>
      <c r="W123">
        <v>2021</v>
      </c>
      <c r="X123" t="s">
        <v>33</v>
      </c>
      <c r="Y123" t="s">
        <v>34</v>
      </c>
    </row>
    <row r="124" spans="1:25" x14ac:dyDescent="0.25">
      <c r="A124" t="s">
        <v>413</v>
      </c>
      <c r="B124" t="s">
        <v>414</v>
      </c>
      <c r="C124" t="s">
        <v>415</v>
      </c>
      <c r="D124" t="s">
        <v>278</v>
      </c>
      <c r="E124" t="s">
        <v>112</v>
      </c>
      <c r="F124" t="s">
        <v>32</v>
      </c>
      <c r="G124">
        <v>30.371081</v>
      </c>
      <c r="H124">
        <v>0.92966000000000004</v>
      </c>
      <c r="I124">
        <v>7</v>
      </c>
      <c r="J124">
        <v>1546.86</v>
      </c>
      <c r="K124">
        <v>90.14</v>
      </c>
      <c r="L124">
        <v>264.86</v>
      </c>
      <c r="M124">
        <v>1456.71</v>
      </c>
      <c r="N124">
        <v>20.71</v>
      </c>
      <c r="O124">
        <v>47</v>
      </c>
      <c r="P124">
        <v>3.71</v>
      </c>
      <c r="Q124">
        <v>1</v>
      </c>
      <c r="R124">
        <v>0</v>
      </c>
      <c r="S124">
        <v>14.43</v>
      </c>
      <c r="T124">
        <v>3.29</v>
      </c>
      <c r="U124">
        <v>0</v>
      </c>
      <c r="V124">
        <v>1.4959999999999999E-3</v>
      </c>
      <c r="W124">
        <v>2021</v>
      </c>
      <c r="X124" t="s">
        <v>33</v>
      </c>
      <c r="Y124" t="s">
        <v>34</v>
      </c>
    </row>
    <row r="125" spans="1:25" x14ac:dyDescent="0.25">
      <c r="A125" t="s">
        <v>416</v>
      </c>
      <c r="B125" t="s">
        <v>417</v>
      </c>
      <c r="C125" t="s">
        <v>418</v>
      </c>
      <c r="D125" t="s">
        <v>62</v>
      </c>
      <c r="E125" t="s">
        <v>31</v>
      </c>
      <c r="F125" t="s">
        <v>32</v>
      </c>
      <c r="G125">
        <v>31.710245</v>
      </c>
      <c r="H125">
        <v>-0.57412700000000005</v>
      </c>
      <c r="I125">
        <v>0</v>
      </c>
      <c r="J125">
        <v>1541.86</v>
      </c>
      <c r="K125">
        <v>149.29</v>
      </c>
      <c r="L125">
        <v>68.86</v>
      </c>
      <c r="M125">
        <v>1392.57</v>
      </c>
      <c r="N125">
        <v>52.43</v>
      </c>
      <c r="O125">
        <v>22.14</v>
      </c>
      <c r="P125">
        <v>7.43</v>
      </c>
      <c r="Q125">
        <v>1</v>
      </c>
      <c r="R125">
        <v>0</v>
      </c>
      <c r="S125">
        <v>48</v>
      </c>
      <c r="T125">
        <v>18.29</v>
      </c>
      <c r="U125">
        <v>0</v>
      </c>
      <c r="V125">
        <v>1.4909999999999999E-3</v>
      </c>
      <c r="W125">
        <v>2021</v>
      </c>
      <c r="X125" t="s">
        <v>33</v>
      </c>
      <c r="Y125" t="s">
        <v>34</v>
      </c>
    </row>
    <row r="126" spans="1:25" x14ac:dyDescent="0.25">
      <c r="A126" t="s">
        <v>419</v>
      </c>
      <c r="B126" t="s">
        <v>420</v>
      </c>
      <c r="C126" t="s">
        <v>421</v>
      </c>
      <c r="D126" t="s">
        <v>231</v>
      </c>
      <c r="E126" t="s">
        <v>166</v>
      </c>
      <c r="F126" t="s">
        <v>32</v>
      </c>
      <c r="G126">
        <v>30.830342000000002</v>
      </c>
      <c r="H126">
        <v>4.2202000000000003E-2</v>
      </c>
      <c r="I126">
        <v>7</v>
      </c>
      <c r="J126">
        <v>1538.43</v>
      </c>
      <c r="K126">
        <v>181.71</v>
      </c>
      <c r="L126">
        <v>261.70999999999998</v>
      </c>
      <c r="M126">
        <v>1356.71</v>
      </c>
      <c r="N126">
        <v>40.86</v>
      </c>
      <c r="O126">
        <v>84.43</v>
      </c>
      <c r="P126">
        <v>16.29</v>
      </c>
      <c r="Q126">
        <v>2.71</v>
      </c>
      <c r="R126">
        <v>0</v>
      </c>
      <c r="S126">
        <v>16.86</v>
      </c>
      <c r="T126">
        <v>20.57</v>
      </c>
      <c r="U126">
        <v>0</v>
      </c>
      <c r="V126">
        <v>1.488E-3</v>
      </c>
      <c r="W126">
        <v>2021</v>
      </c>
      <c r="X126" t="s">
        <v>33</v>
      </c>
      <c r="Y126" t="s">
        <v>34</v>
      </c>
    </row>
    <row r="127" spans="1:25" x14ac:dyDescent="0.25">
      <c r="A127" t="s">
        <v>422</v>
      </c>
      <c r="B127" t="s">
        <v>423</v>
      </c>
      <c r="C127" t="s">
        <v>424</v>
      </c>
      <c r="D127" t="s">
        <v>30</v>
      </c>
      <c r="E127" t="s">
        <v>31</v>
      </c>
      <c r="F127" t="s">
        <v>32</v>
      </c>
      <c r="G127">
        <v>32.428015000000002</v>
      </c>
      <c r="H127">
        <v>0.172569</v>
      </c>
      <c r="I127">
        <v>0</v>
      </c>
      <c r="J127">
        <v>1498.14</v>
      </c>
      <c r="K127">
        <v>421</v>
      </c>
      <c r="L127">
        <v>237.86</v>
      </c>
      <c r="M127">
        <v>1077.1400000000001</v>
      </c>
      <c r="N127">
        <v>249.57</v>
      </c>
      <c r="O127">
        <v>38.57</v>
      </c>
      <c r="P127">
        <v>17.71</v>
      </c>
      <c r="Q127">
        <v>7</v>
      </c>
      <c r="R127">
        <v>0</v>
      </c>
      <c r="S127">
        <v>16.29</v>
      </c>
      <c r="T127">
        <v>91.57</v>
      </c>
      <c r="U127">
        <v>0.28999999999999998</v>
      </c>
      <c r="V127">
        <v>1.449E-3</v>
      </c>
      <c r="W127">
        <v>2021</v>
      </c>
      <c r="X127" t="s">
        <v>33</v>
      </c>
      <c r="Y127" t="s">
        <v>34</v>
      </c>
    </row>
    <row r="128" spans="1:25" x14ac:dyDescent="0.25">
      <c r="A128" t="s">
        <v>425</v>
      </c>
      <c r="B128" t="s">
        <v>426</v>
      </c>
      <c r="C128" t="s">
        <v>427</v>
      </c>
      <c r="D128" t="s">
        <v>69</v>
      </c>
      <c r="E128" t="s">
        <v>31</v>
      </c>
      <c r="F128" t="s">
        <v>32</v>
      </c>
      <c r="G128">
        <v>32.398969000000001</v>
      </c>
      <c r="H128">
        <v>0.79169400000000001</v>
      </c>
      <c r="I128">
        <v>0</v>
      </c>
      <c r="J128">
        <v>1496.43</v>
      </c>
      <c r="K128">
        <v>188.29</v>
      </c>
      <c r="L128">
        <v>123.43</v>
      </c>
      <c r="M128">
        <v>1308.1400000000001</v>
      </c>
      <c r="N128">
        <v>42.57</v>
      </c>
      <c r="O128">
        <v>35.29</v>
      </c>
      <c r="P128">
        <v>11.14</v>
      </c>
      <c r="Q128">
        <v>0.71</v>
      </c>
      <c r="R128">
        <v>0</v>
      </c>
      <c r="S128">
        <v>66</v>
      </c>
      <c r="T128">
        <v>29.43</v>
      </c>
      <c r="U128">
        <v>3.14</v>
      </c>
      <c r="V128">
        <v>1.4469999999999999E-3</v>
      </c>
      <c r="W128">
        <v>2021</v>
      </c>
      <c r="X128" t="s">
        <v>33</v>
      </c>
      <c r="Y128" t="s">
        <v>34</v>
      </c>
    </row>
    <row r="129" spans="1:25" x14ac:dyDescent="0.25">
      <c r="A129" t="s">
        <v>428</v>
      </c>
      <c r="B129" t="s">
        <v>429</v>
      </c>
      <c r="C129" t="s">
        <v>430</v>
      </c>
      <c r="D129" t="s">
        <v>73</v>
      </c>
      <c r="E129" t="s">
        <v>31</v>
      </c>
      <c r="F129" t="s">
        <v>32</v>
      </c>
      <c r="G129">
        <v>31.185255999999999</v>
      </c>
      <c r="H129">
        <v>0.307506</v>
      </c>
      <c r="I129">
        <v>0</v>
      </c>
      <c r="J129">
        <v>1491.57</v>
      </c>
      <c r="K129">
        <v>426.43</v>
      </c>
      <c r="L129">
        <v>7.86</v>
      </c>
      <c r="M129">
        <v>1065.1400000000001</v>
      </c>
      <c r="N129">
        <v>150.43</v>
      </c>
      <c r="O129">
        <v>61.14</v>
      </c>
      <c r="P129">
        <v>23</v>
      </c>
      <c r="Q129">
        <v>0</v>
      </c>
      <c r="R129">
        <v>0</v>
      </c>
      <c r="S129">
        <v>136</v>
      </c>
      <c r="T129">
        <v>38.57</v>
      </c>
      <c r="U129">
        <v>17.29</v>
      </c>
      <c r="V129">
        <v>1.4430000000000001E-3</v>
      </c>
      <c r="W129">
        <v>2021</v>
      </c>
      <c r="X129" t="s">
        <v>33</v>
      </c>
      <c r="Y129" t="s">
        <v>34</v>
      </c>
    </row>
    <row r="130" spans="1:25" x14ac:dyDescent="0.25">
      <c r="A130" t="s">
        <v>431</v>
      </c>
      <c r="B130" t="s">
        <v>432</v>
      </c>
      <c r="C130" t="s">
        <v>433</v>
      </c>
      <c r="D130" t="s">
        <v>336</v>
      </c>
      <c r="E130" t="s">
        <v>112</v>
      </c>
      <c r="F130" t="s">
        <v>32</v>
      </c>
      <c r="G130">
        <v>31.871027000000002</v>
      </c>
      <c r="H130">
        <v>1.785426</v>
      </c>
      <c r="I130">
        <v>7</v>
      </c>
      <c r="J130">
        <v>1481.71</v>
      </c>
      <c r="K130">
        <v>126.86</v>
      </c>
      <c r="L130">
        <v>179</v>
      </c>
      <c r="M130">
        <v>1354.86</v>
      </c>
      <c r="N130">
        <v>16.86</v>
      </c>
      <c r="O130">
        <v>32.86</v>
      </c>
      <c r="P130">
        <v>2.29</v>
      </c>
      <c r="Q130">
        <v>0.56999999999999995</v>
      </c>
      <c r="R130">
        <v>0.71</v>
      </c>
      <c r="S130">
        <v>31.29</v>
      </c>
      <c r="T130">
        <v>41.57</v>
      </c>
      <c r="U130">
        <v>0.71</v>
      </c>
      <c r="V130">
        <v>1.433E-3</v>
      </c>
      <c r="W130">
        <v>2021</v>
      </c>
      <c r="X130" t="s">
        <v>33</v>
      </c>
      <c r="Y130" t="s">
        <v>34</v>
      </c>
    </row>
    <row r="131" spans="1:25" x14ac:dyDescent="0.25">
      <c r="A131" t="s">
        <v>434</v>
      </c>
      <c r="B131" t="s">
        <v>435</v>
      </c>
      <c r="C131" t="s">
        <v>436</v>
      </c>
      <c r="D131" t="s">
        <v>142</v>
      </c>
      <c r="E131" t="s">
        <v>48</v>
      </c>
      <c r="F131" t="s">
        <v>32</v>
      </c>
      <c r="G131">
        <v>32.516016999999998</v>
      </c>
      <c r="H131">
        <v>2.3356870000000001</v>
      </c>
      <c r="I131">
        <v>7</v>
      </c>
      <c r="J131">
        <v>1473</v>
      </c>
      <c r="K131">
        <v>1287.43</v>
      </c>
      <c r="L131">
        <v>14</v>
      </c>
      <c r="M131">
        <v>185.57</v>
      </c>
      <c r="N131">
        <v>241</v>
      </c>
      <c r="O131">
        <v>255.86</v>
      </c>
      <c r="P131">
        <v>143.43</v>
      </c>
      <c r="Q131">
        <v>16.71</v>
      </c>
      <c r="R131">
        <v>90.14</v>
      </c>
      <c r="S131">
        <v>99.71</v>
      </c>
      <c r="T131">
        <v>214.29</v>
      </c>
      <c r="U131">
        <v>226.29</v>
      </c>
      <c r="V131">
        <v>1.4250000000000001E-3</v>
      </c>
      <c r="W131">
        <v>2021</v>
      </c>
      <c r="X131" t="s">
        <v>33</v>
      </c>
      <c r="Y131" t="s">
        <v>34</v>
      </c>
    </row>
    <row r="132" spans="1:25" x14ac:dyDescent="0.25">
      <c r="A132" t="s">
        <v>437</v>
      </c>
      <c r="B132" t="s">
        <v>438</v>
      </c>
      <c r="C132" t="s">
        <v>439</v>
      </c>
      <c r="D132" t="s">
        <v>95</v>
      </c>
      <c r="E132" t="s">
        <v>96</v>
      </c>
      <c r="F132" t="s">
        <v>32</v>
      </c>
      <c r="G132">
        <v>33.315337</v>
      </c>
      <c r="H132">
        <v>0.58529100000000001</v>
      </c>
      <c r="I132">
        <v>7</v>
      </c>
      <c r="J132">
        <v>1465</v>
      </c>
      <c r="K132">
        <v>410.14</v>
      </c>
      <c r="L132">
        <v>44.86</v>
      </c>
      <c r="M132">
        <v>1054.8599999999999</v>
      </c>
      <c r="N132">
        <v>28.29</v>
      </c>
      <c r="O132">
        <v>129.29</v>
      </c>
      <c r="P132">
        <v>53.43</v>
      </c>
      <c r="Q132">
        <v>1.1399999999999999</v>
      </c>
      <c r="R132">
        <v>2.71</v>
      </c>
      <c r="S132">
        <v>47.86</v>
      </c>
      <c r="T132">
        <v>133.71</v>
      </c>
      <c r="U132">
        <v>13.71</v>
      </c>
      <c r="V132">
        <v>1.4170000000000001E-3</v>
      </c>
      <c r="W132">
        <v>2021</v>
      </c>
      <c r="X132" t="s">
        <v>33</v>
      </c>
      <c r="Y132" t="s">
        <v>34</v>
      </c>
    </row>
    <row r="133" spans="1:25" x14ac:dyDescent="0.25">
      <c r="A133" t="s">
        <v>440</v>
      </c>
      <c r="B133" t="s">
        <v>441</v>
      </c>
      <c r="C133" t="s">
        <v>442</v>
      </c>
      <c r="D133" t="s">
        <v>95</v>
      </c>
      <c r="E133" t="s">
        <v>96</v>
      </c>
      <c r="F133" t="s">
        <v>32</v>
      </c>
      <c r="G133">
        <v>33.078341999999999</v>
      </c>
      <c r="H133">
        <v>0.73410799999999998</v>
      </c>
      <c r="I133">
        <v>7</v>
      </c>
      <c r="J133">
        <v>1458.57</v>
      </c>
      <c r="K133">
        <v>270.29000000000002</v>
      </c>
      <c r="L133">
        <v>287.70999999999998</v>
      </c>
      <c r="M133">
        <v>1188.29</v>
      </c>
      <c r="N133">
        <v>30.14</v>
      </c>
      <c r="O133">
        <v>64.86</v>
      </c>
      <c r="P133">
        <v>11</v>
      </c>
      <c r="Q133">
        <v>1.57</v>
      </c>
      <c r="R133">
        <v>4.71</v>
      </c>
      <c r="S133">
        <v>49.71</v>
      </c>
      <c r="T133">
        <v>96.71</v>
      </c>
      <c r="U133">
        <v>11.57</v>
      </c>
      <c r="V133">
        <v>1.4109999999999999E-3</v>
      </c>
      <c r="W133">
        <v>2021</v>
      </c>
      <c r="X133" t="s">
        <v>33</v>
      </c>
      <c r="Y133" t="s">
        <v>34</v>
      </c>
    </row>
    <row r="134" spans="1:25" x14ac:dyDescent="0.25">
      <c r="A134" t="s">
        <v>443</v>
      </c>
      <c r="B134" t="s">
        <v>444</v>
      </c>
      <c r="C134" t="s">
        <v>445</v>
      </c>
      <c r="D134" t="s">
        <v>170</v>
      </c>
      <c r="E134" t="s">
        <v>166</v>
      </c>
      <c r="F134" t="s">
        <v>32</v>
      </c>
      <c r="G134">
        <v>30.223286999999999</v>
      </c>
      <c r="H134">
        <v>-0.92704200000000003</v>
      </c>
      <c r="I134">
        <v>8</v>
      </c>
      <c r="J134">
        <v>1452.29</v>
      </c>
      <c r="K134">
        <v>277.14</v>
      </c>
      <c r="L134">
        <v>227.14</v>
      </c>
      <c r="M134">
        <v>1175.1400000000001</v>
      </c>
      <c r="N134">
        <v>76.930000000000007</v>
      </c>
      <c r="O134">
        <v>64.14</v>
      </c>
      <c r="P134">
        <v>22.29</v>
      </c>
      <c r="Q134">
        <v>8.93</v>
      </c>
      <c r="R134">
        <v>3.64</v>
      </c>
      <c r="S134">
        <v>55.21</v>
      </c>
      <c r="T134">
        <v>37.43</v>
      </c>
      <c r="U134">
        <v>8.57</v>
      </c>
      <c r="V134">
        <v>1.405E-3</v>
      </c>
      <c r="W134">
        <v>2021</v>
      </c>
      <c r="X134" t="s">
        <v>33</v>
      </c>
      <c r="Y134" t="s">
        <v>34</v>
      </c>
    </row>
    <row r="135" spans="1:25" x14ac:dyDescent="0.25">
      <c r="A135" t="s">
        <v>446</v>
      </c>
      <c r="B135" t="s">
        <v>444</v>
      </c>
      <c r="C135" t="s">
        <v>445</v>
      </c>
      <c r="D135" t="s">
        <v>170</v>
      </c>
      <c r="E135" t="s">
        <v>166</v>
      </c>
      <c r="F135" t="s">
        <v>32</v>
      </c>
      <c r="G135">
        <v>30.223206000000001</v>
      </c>
      <c r="H135">
        <v>-0.92709799999999998</v>
      </c>
      <c r="I135">
        <v>8</v>
      </c>
      <c r="J135">
        <v>1452.29</v>
      </c>
      <c r="K135">
        <v>277.14</v>
      </c>
      <c r="L135">
        <v>227.14</v>
      </c>
      <c r="M135">
        <v>1175.1400000000001</v>
      </c>
      <c r="N135">
        <v>76.930000000000007</v>
      </c>
      <c r="O135">
        <v>64.14</v>
      </c>
      <c r="P135">
        <v>22.29</v>
      </c>
      <c r="Q135">
        <v>8.93</v>
      </c>
      <c r="R135">
        <v>3.64</v>
      </c>
      <c r="S135">
        <v>55.21</v>
      </c>
      <c r="T135">
        <v>37.43</v>
      </c>
      <c r="U135">
        <v>8.57</v>
      </c>
      <c r="V135">
        <v>1.405E-3</v>
      </c>
      <c r="W135">
        <v>2021</v>
      </c>
      <c r="X135" t="s">
        <v>33</v>
      </c>
      <c r="Y135" t="s">
        <v>34</v>
      </c>
    </row>
    <row r="136" spans="1:25" x14ac:dyDescent="0.25">
      <c r="A136" t="s">
        <v>447</v>
      </c>
      <c r="B136" t="s">
        <v>448</v>
      </c>
      <c r="C136" t="s">
        <v>449</v>
      </c>
      <c r="D136" t="s">
        <v>358</v>
      </c>
      <c r="E136" t="s">
        <v>166</v>
      </c>
      <c r="F136" t="s">
        <v>32</v>
      </c>
      <c r="G136">
        <v>30.093253000000001</v>
      </c>
      <c r="H136">
        <v>-0.34103699999999998</v>
      </c>
      <c r="I136">
        <v>8</v>
      </c>
      <c r="J136">
        <v>1450.43</v>
      </c>
      <c r="K136">
        <v>34.86</v>
      </c>
      <c r="L136">
        <v>393.29</v>
      </c>
      <c r="M136">
        <v>1415.57</v>
      </c>
      <c r="N136">
        <v>12.43</v>
      </c>
      <c r="O136">
        <v>5.29</v>
      </c>
      <c r="P136">
        <v>5.57</v>
      </c>
      <c r="Q136">
        <v>0</v>
      </c>
      <c r="R136">
        <v>0</v>
      </c>
      <c r="S136">
        <v>8.2899999999999991</v>
      </c>
      <c r="T136">
        <v>3.29</v>
      </c>
      <c r="U136">
        <v>0</v>
      </c>
      <c r="V136">
        <v>1.403E-3</v>
      </c>
      <c r="W136">
        <v>2021</v>
      </c>
      <c r="X136" t="s">
        <v>33</v>
      </c>
      <c r="Y136" t="s">
        <v>34</v>
      </c>
    </row>
    <row r="137" spans="1:25" x14ac:dyDescent="0.25">
      <c r="A137" t="s">
        <v>450</v>
      </c>
      <c r="B137" t="s">
        <v>451</v>
      </c>
      <c r="C137" t="s">
        <v>452</v>
      </c>
      <c r="D137" t="s">
        <v>52</v>
      </c>
      <c r="E137" t="s">
        <v>31</v>
      </c>
      <c r="F137" t="s">
        <v>32</v>
      </c>
      <c r="G137">
        <v>31.742348</v>
      </c>
      <c r="H137">
        <v>0.187892</v>
      </c>
      <c r="I137">
        <v>0</v>
      </c>
      <c r="J137">
        <v>1432</v>
      </c>
      <c r="K137">
        <v>409.29</v>
      </c>
      <c r="L137">
        <v>24.43</v>
      </c>
      <c r="M137">
        <v>1022.71</v>
      </c>
      <c r="N137">
        <v>84.14</v>
      </c>
      <c r="O137">
        <v>84.14</v>
      </c>
      <c r="P137">
        <v>110.86</v>
      </c>
      <c r="Q137">
        <v>2</v>
      </c>
      <c r="R137">
        <v>0.71</v>
      </c>
      <c r="S137">
        <v>42.71</v>
      </c>
      <c r="T137">
        <v>60.86</v>
      </c>
      <c r="U137">
        <v>23.86</v>
      </c>
      <c r="V137">
        <v>1.3849999999999999E-3</v>
      </c>
      <c r="W137">
        <v>2021</v>
      </c>
      <c r="X137" t="s">
        <v>33</v>
      </c>
      <c r="Y137" t="s">
        <v>34</v>
      </c>
    </row>
    <row r="138" spans="1:25" x14ac:dyDescent="0.25">
      <c r="A138" t="s">
        <v>453</v>
      </c>
      <c r="B138" t="s">
        <v>454</v>
      </c>
      <c r="C138" t="s">
        <v>455</v>
      </c>
      <c r="D138" t="s">
        <v>30</v>
      </c>
      <c r="E138" t="s">
        <v>31</v>
      </c>
      <c r="F138" t="s">
        <v>32</v>
      </c>
      <c r="G138">
        <v>32.516060000000003</v>
      </c>
      <c r="H138">
        <v>7.7184000000000003E-2</v>
      </c>
      <c r="I138">
        <v>0</v>
      </c>
      <c r="J138">
        <v>1398.86</v>
      </c>
      <c r="K138">
        <v>137.43</v>
      </c>
      <c r="L138">
        <v>46.29</v>
      </c>
      <c r="M138">
        <v>1261.43</v>
      </c>
      <c r="N138">
        <v>76.569999999999993</v>
      </c>
      <c r="O138">
        <v>23.29</v>
      </c>
      <c r="P138">
        <v>1</v>
      </c>
      <c r="Q138">
        <v>0</v>
      </c>
      <c r="R138">
        <v>0</v>
      </c>
      <c r="S138">
        <v>30.14</v>
      </c>
      <c r="T138">
        <v>6.14</v>
      </c>
      <c r="U138">
        <v>0.28999999999999998</v>
      </c>
      <c r="V138">
        <v>1.353E-3</v>
      </c>
      <c r="W138">
        <v>2021</v>
      </c>
      <c r="X138" t="s">
        <v>33</v>
      </c>
      <c r="Y138" t="s">
        <v>34</v>
      </c>
    </row>
    <row r="139" spans="1:25" x14ac:dyDescent="0.25">
      <c r="A139" t="s">
        <v>456</v>
      </c>
      <c r="B139" t="s">
        <v>457</v>
      </c>
      <c r="C139" t="s">
        <v>458</v>
      </c>
      <c r="D139" t="s">
        <v>231</v>
      </c>
      <c r="E139" t="s">
        <v>166</v>
      </c>
      <c r="F139" t="s">
        <v>32</v>
      </c>
      <c r="G139">
        <v>30.440640999999999</v>
      </c>
      <c r="H139">
        <v>0.140984</v>
      </c>
      <c r="I139">
        <v>11</v>
      </c>
      <c r="J139">
        <v>1386.29</v>
      </c>
      <c r="K139">
        <v>169.43</v>
      </c>
      <c r="L139">
        <v>421.29</v>
      </c>
      <c r="M139">
        <v>1216.8599999999999</v>
      </c>
      <c r="N139">
        <v>35.57</v>
      </c>
      <c r="O139">
        <v>65.290000000000006</v>
      </c>
      <c r="P139">
        <v>3.43</v>
      </c>
      <c r="Q139">
        <v>0.71</v>
      </c>
      <c r="R139">
        <v>0.28999999999999998</v>
      </c>
      <c r="S139">
        <v>41.57</v>
      </c>
      <c r="T139">
        <v>22.29</v>
      </c>
      <c r="U139">
        <v>0.28999999999999998</v>
      </c>
      <c r="V139">
        <v>1.341E-3</v>
      </c>
      <c r="W139">
        <v>2021</v>
      </c>
      <c r="X139" t="s">
        <v>33</v>
      </c>
      <c r="Y139" t="s">
        <v>34</v>
      </c>
    </row>
    <row r="140" spans="1:25" x14ac:dyDescent="0.25">
      <c r="A140" t="s">
        <v>459</v>
      </c>
      <c r="B140" t="s">
        <v>460</v>
      </c>
      <c r="C140" t="s">
        <v>461</v>
      </c>
      <c r="D140" t="s">
        <v>62</v>
      </c>
      <c r="E140" t="s">
        <v>31</v>
      </c>
      <c r="F140" t="s">
        <v>32</v>
      </c>
      <c r="G140">
        <v>31.511389999999999</v>
      </c>
      <c r="H140">
        <v>-0.48637900000000001</v>
      </c>
      <c r="I140">
        <v>0</v>
      </c>
      <c r="J140">
        <v>1341.43</v>
      </c>
      <c r="K140">
        <v>244.43</v>
      </c>
      <c r="L140">
        <v>34.29</v>
      </c>
      <c r="M140">
        <v>1097</v>
      </c>
      <c r="N140">
        <v>50.43</v>
      </c>
      <c r="O140">
        <v>53.86</v>
      </c>
      <c r="P140">
        <v>26.29</v>
      </c>
      <c r="Q140">
        <v>4.43</v>
      </c>
      <c r="R140">
        <v>0.28999999999999998</v>
      </c>
      <c r="S140">
        <v>52.86</v>
      </c>
      <c r="T140">
        <v>56.29</v>
      </c>
      <c r="U140">
        <v>0</v>
      </c>
      <c r="V140">
        <v>1.2979999999999999E-3</v>
      </c>
      <c r="W140">
        <v>2021</v>
      </c>
      <c r="X140" t="s">
        <v>33</v>
      </c>
      <c r="Y140" t="s">
        <v>34</v>
      </c>
    </row>
    <row r="141" spans="1:25" x14ac:dyDescent="0.25">
      <c r="A141" t="s">
        <v>462</v>
      </c>
      <c r="B141" t="s">
        <v>463</v>
      </c>
      <c r="C141" t="s">
        <v>464</v>
      </c>
      <c r="D141" t="s">
        <v>62</v>
      </c>
      <c r="E141" t="s">
        <v>31</v>
      </c>
      <c r="F141" t="s">
        <v>32</v>
      </c>
      <c r="G141">
        <v>32.155794</v>
      </c>
      <c r="H141">
        <v>-0.315556</v>
      </c>
      <c r="I141">
        <v>0</v>
      </c>
      <c r="J141">
        <v>1323.29</v>
      </c>
      <c r="K141">
        <v>475</v>
      </c>
      <c r="L141">
        <v>8.86</v>
      </c>
      <c r="M141">
        <v>848.29</v>
      </c>
      <c r="N141">
        <v>135.57</v>
      </c>
      <c r="O141">
        <v>90.29</v>
      </c>
      <c r="P141">
        <v>22.29</v>
      </c>
      <c r="Q141">
        <v>3.14</v>
      </c>
      <c r="R141">
        <v>0</v>
      </c>
      <c r="S141">
        <v>78.86</v>
      </c>
      <c r="T141">
        <v>124.43</v>
      </c>
      <c r="U141">
        <v>20.43</v>
      </c>
      <c r="V141">
        <v>1.2800000000000001E-3</v>
      </c>
      <c r="W141">
        <v>2021</v>
      </c>
      <c r="X141" t="s">
        <v>33</v>
      </c>
      <c r="Y141" t="s">
        <v>34</v>
      </c>
    </row>
    <row r="142" spans="1:25" x14ac:dyDescent="0.25">
      <c r="A142" t="s">
        <v>465</v>
      </c>
      <c r="B142" t="s">
        <v>466</v>
      </c>
      <c r="C142" t="s">
        <v>467</v>
      </c>
      <c r="D142" t="s">
        <v>73</v>
      </c>
      <c r="E142" t="s">
        <v>31</v>
      </c>
      <c r="F142" t="s">
        <v>32</v>
      </c>
      <c r="G142">
        <v>31.903307000000002</v>
      </c>
      <c r="H142">
        <v>0.60767000000000004</v>
      </c>
      <c r="I142">
        <v>0</v>
      </c>
      <c r="J142">
        <v>1320.86</v>
      </c>
      <c r="K142">
        <v>224.14</v>
      </c>
      <c r="L142">
        <v>31.29</v>
      </c>
      <c r="M142">
        <v>1096.71</v>
      </c>
      <c r="N142">
        <v>46.29</v>
      </c>
      <c r="O142">
        <v>42.29</v>
      </c>
      <c r="P142">
        <v>26.57</v>
      </c>
      <c r="Q142">
        <v>5.29</v>
      </c>
      <c r="R142">
        <v>0</v>
      </c>
      <c r="S142">
        <v>50.57</v>
      </c>
      <c r="T142">
        <v>52.86</v>
      </c>
      <c r="U142">
        <v>0.28999999999999998</v>
      </c>
      <c r="V142">
        <v>1.2780000000000001E-3</v>
      </c>
      <c r="W142">
        <v>2021</v>
      </c>
      <c r="X142" t="s">
        <v>33</v>
      </c>
      <c r="Y142" t="s">
        <v>34</v>
      </c>
    </row>
    <row r="143" spans="1:25" x14ac:dyDescent="0.25">
      <c r="A143" t="s">
        <v>468</v>
      </c>
      <c r="B143" t="s">
        <v>469</v>
      </c>
      <c r="C143" t="s">
        <v>470</v>
      </c>
      <c r="D143" t="s">
        <v>62</v>
      </c>
      <c r="E143" t="s">
        <v>31</v>
      </c>
      <c r="F143" t="s">
        <v>32</v>
      </c>
      <c r="G143">
        <v>31.649127</v>
      </c>
      <c r="H143">
        <v>-0.64927699999999999</v>
      </c>
      <c r="I143">
        <v>0</v>
      </c>
      <c r="J143">
        <v>1298.8599999999999</v>
      </c>
      <c r="K143">
        <v>210.71</v>
      </c>
      <c r="L143">
        <v>48.86</v>
      </c>
      <c r="M143">
        <v>1088.1400000000001</v>
      </c>
      <c r="N143">
        <v>61</v>
      </c>
      <c r="O143">
        <v>33.57</v>
      </c>
      <c r="P143">
        <v>15.14</v>
      </c>
      <c r="Q143">
        <v>0.28999999999999998</v>
      </c>
      <c r="R143">
        <v>0</v>
      </c>
      <c r="S143">
        <v>79.86</v>
      </c>
      <c r="T143">
        <v>17.29</v>
      </c>
      <c r="U143">
        <v>3.57</v>
      </c>
      <c r="V143">
        <v>1.256E-3</v>
      </c>
      <c r="W143">
        <v>2021</v>
      </c>
      <c r="X143" t="s">
        <v>33</v>
      </c>
      <c r="Y143" t="s">
        <v>34</v>
      </c>
    </row>
    <row r="144" spans="1:25" x14ac:dyDescent="0.25">
      <c r="A144" t="s">
        <v>471</v>
      </c>
      <c r="B144" t="s">
        <v>472</v>
      </c>
      <c r="C144" t="s">
        <v>473</v>
      </c>
      <c r="D144" t="s">
        <v>73</v>
      </c>
      <c r="E144" t="s">
        <v>31</v>
      </c>
      <c r="F144" t="s">
        <v>32</v>
      </c>
      <c r="G144">
        <v>31.401230000000002</v>
      </c>
      <c r="H144">
        <v>0.85237799999999997</v>
      </c>
      <c r="I144">
        <v>0</v>
      </c>
      <c r="J144">
        <v>1274.57</v>
      </c>
      <c r="K144">
        <v>237.57</v>
      </c>
      <c r="L144">
        <v>12.14</v>
      </c>
      <c r="M144">
        <v>1037</v>
      </c>
      <c r="N144">
        <v>84</v>
      </c>
      <c r="O144">
        <v>75</v>
      </c>
      <c r="P144">
        <v>1.57</v>
      </c>
      <c r="Q144">
        <v>0.86</v>
      </c>
      <c r="R144">
        <v>0.28999999999999998</v>
      </c>
      <c r="S144">
        <v>2.57</v>
      </c>
      <c r="T144">
        <v>69.430000000000007</v>
      </c>
      <c r="U144">
        <v>3.86</v>
      </c>
      <c r="V144">
        <v>1.2329999999999999E-3</v>
      </c>
      <c r="W144">
        <v>2021</v>
      </c>
      <c r="X144" t="s">
        <v>33</v>
      </c>
      <c r="Y144" t="s">
        <v>34</v>
      </c>
    </row>
    <row r="145" spans="1:25" x14ac:dyDescent="0.25">
      <c r="A145" t="s">
        <v>474</v>
      </c>
      <c r="B145" t="s">
        <v>475</v>
      </c>
      <c r="C145" t="s">
        <v>476</v>
      </c>
      <c r="D145" t="s">
        <v>111</v>
      </c>
      <c r="E145" t="s">
        <v>112</v>
      </c>
      <c r="F145" t="s">
        <v>32</v>
      </c>
      <c r="G145">
        <v>30.92587</v>
      </c>
      <c r="H145">
        <v>1.230394</v>
      </c>
      <c r="I145">
        <v>7</v>
      </c>
      <c r="J145">
        <v>1241.29</v>
      </c>
      <c r="K145">
        <v>319.43</v>
      </c>
      <c r="L145">
        <v>139.43</v>
      </c>
      <c r="M145">
        <v>921.86</v>
      </c>
      <c r="N145">
        <v>33.29</v>
      </c>
      <c r="O145">
        <v>128.86000000000001</v>
      </c>
      <c r="P145">
        <v>24.57</v>
      </c>
      <c r="Q145">
        <v>2.29</v>
      </c>
      <c r="R145">
        <v>6.14</v>
      </c>
      <c r="S145">
        <v>42.43</v>
      </c>
      <c r="T145">
        <v>69.86</v>
      </c>
      <c r="U145">
        <v>12</v>
      </c>
      <c r="V145">
        <v>1.201E-3</v>
      </c>
      <c r="W145">
        <v>2021</v>
      </c>
      <c r="X145" t="s">
        <v>33</v>
      </c>
      <c r="Y145" t="s">
        <v>34</v>
      </c>
    </row>
    <row r="146" spans="1:25" x14ac:dyDescent="0.25">
      <c r="A146" t="s">
        <v>477</v>
      </c>
      <c r="B146" t="s">
        <v>478</v>
      </c>
      <c r="C146" t="s">
        <v>479</v>
      </c>
      <c r="D146" t="s">
        <v>278</v>
      </c>
      <c r="E146" t="s">
        <v>112</v>
      </c>
      <c r="F146" t="s">
        <v>32</v>
      </c>
      <c r="G146">
        <v>30.158425999999999</v>
      </c>
      <c r="H146">
        <v>0.61933300000000002</v>
      </c>
      <c r="I146">
        <v>7</v>
      </c>
      <c r="J146">
        <v>1232</v>
      </c>
      <c r="K146">
        <v>48.71</v>
      </c>
      <c r="L146">
        <v>276.86</v>
      </c>
      <c r="M146">
        <v>1183.29</v>
      </c>
      <c r="N146">
        <v>21.86</v>
      </c>
      <c r="O146">
        <v>11.43</v>
      </c>
      <c r="P146">
        <v>3.29</v>
      </c>
      <c r="Q146">
        <v>0.28999999999999998</v>
      </c>
      <c r="R146">
        <v>0.28999999999999998</v>
      </c>
      <c r="S146">
        <v>7.57</v>
      </c>
      <c r="T146">
        <v>3.43</v>
      </c>
      <c r="U146">
        <v>0.56999999999999995</v>
      </c>
      <c r="V146">
        <v>1.1919999999999999E-3</v>
      </c>
      <c r="W146">
        <v>2021</v>
      </c>
      <c r="X146" t="s">
        <v>33</v>
      </c>
      <c r="Y146" t="s">
        <v>34</v>
      </c>
    </row>
    <row r="147" spans="1:25" x14ac:dyDescent="0.25">
      <c r="A147" t="s">
        <v>480</v>
      </c>
      <c r="B147" t="s">
        <v>481</v>
      </c>
      <c r="C147" t="s">
        <v>482</v>
      </c>
      <c r="D147" t="s">
        <v>170</v>
      </c>
      <c r="E147" t="s">
        <v>166</v>
      </c>
      <c r="F147" t="s">
        <v>32</v>
      </c>
      <c r="G147">
        <v>30.082709000000001</v>
      </c>
      <c r="H147">
        <v>-0.83288200000000001</v>
      </c>
      <c r="I147">
        <v>7</v>
      </c>
      <c r="J147">
        <v>1214.29</v>
      </c>
      <c r="K147">
        <v>516.42999999999995</v>
      </c>
      <c r="L147">
        <v>94.29</v>
      </c>
      <c r="M147">
        <v>697.86</v>
      </c>
      <c r="N147">
        <v>221.43</v>
      </c>
      <c r="O147">
        <v>170</v>
      </c>
      <c r="P147">
        <v>29</v>
      </c>
      <c r="Q147">
        <v>5</v>
      </c>
      <c r="R147">
        <v>20.14</v>
      </c>
      <c r="S147">
        <v>19.71</v>
      </c>
      <c r="T147">
        <v>38.43</v>
      </c>
      <c r="U147">
        <v>12.71</v>
      </c>
      <c r="V147">
        <v>1.175E-3</v>
      </c>
      <c r="W147">
        <v>2021</v>
      </c>
      <c r="X147" t="s">
        <v>33</v>
      </c>
      <c r="Y147" t="s">
        <v>34</v>
      </c>
    </row>
    <row r="148" spans="1:25" x14ac:dyDescent="0.25">
      <c r="A148" t="s">
        <v>483</v>
      </c>
      <c r="B148" t="s">
        <v>484</v>
      </c>
      <c r="C148" t="s">
        <v>485</v>
      </c>
      <c r="D148" t="s">
        <v>170</v>
      </c>
      <c r="E148" t="s">
        <v>166</v>
      </c>
      <c r="F148" t="s">
        <v>32</v>
      </c>
      <c r="G148">
        <v>30.035398000000001</v>
      </c>
      <c r="H148">
        <v>-1.202294</v>
      </c>
      <c r="I148">
        <v>7</v>
      </c>
      <c r="J148">
        <v>1214.29</v>
      </c>
      <c r="K148">
        <v>516.42999999999995</v>
      </c>
      <c r="L148">
        <v>94.29</v>
      </c>
      <c r="M148">
        <v>697.86</v>
      </c>
      <c r="N148">
        <v>221.43</v>
      </c>
      <c r="O148">
        <v>170</v>
      </c>
      <c r="P148">
        <v>29</v>
      </c>
      <c r="Q148">
        <v>5</v>
      </c>
      <c r="R148">
        <v>20.14</v>
      </c>
      <c r="S148">
        <v>19.71</v>
      </c>
      <c r="T148">
        <v>38.43</v>
      </c>
      <c r="U148">
        <v>12.71</v>
      </c>
      <c r="V148">
        <v>1.175E-3</v>
      </c>
      <c r="W148">
        <v>2021</v>
      </c>
      <c r="X148" t="s">
        <v>33</v>
      </c>
      <c r="Y148" t="s">
        <v>34</v>
      </c>
    </row>
    <row r="149" spans="1:25" x14ac:dyDescent="0.25">
      <c r="A149" t="s">
        <v>486</v>
      </c>
      <c r="B149" t="s">
        <v>487</v>
      </c>
      <c r="C149" t="s">
        <v>488</v>
      </c>
      <c r="D149" t="s">
        <v>170</v>
      </c>
      <c r="E149" t="s">
        <v>166</v>
      </c>
      <c r="F149" t="s">
        <v>32</v>
      </c>
      <c r="G149">
        <v>29.673684999999999</v>
      </c>
      <c r="H149">
        <v>-1.138458</v>
      </c>
      <c r="I149">
        <v>7</v>
      </c>
      <c r="J149">
        <v>1214.29</v>
      </c>
      <c r="K149">
        <v>516.42999999999995</v>
      </c>
      <c r="L149">
        <v>94.29</v>
      </c>
      <c r="M149">
        <v>697.86</v>
      </c>
      <c r="N149">
        <v>221.43</v>
      </c>
      <c r="O149">
        <v>170</v>
      </c>
      <c r="P149">
        <v>29</v>
      </c>
      <c r="Q149">
        <v>5</v>
      </c>
      <c r="R149">
        <v>20.14</v>
      </c>
      <c r="S149">
        <v>19.71</v>
      </c>
      <c r="T149">
        <v>38.43</v>
      </c>
      <c r="U149">
        <v>12.71</v>
      </c>
      <c r="V149">
        <v>1.175E-3</v>
      </c>
      <c r="W149">
        <v>2021</v>
      </c>
      <c r="X149" t="s">
        <v>33</v>
      </c>
      <c r="Y149" t="s">
        <v>34</v>
      </c>
    </row>
    <row r="150" spans="1:25" x14ac:dyDescent="0.25">
      <c r="A150" t="s">
        <v>489</v>
      </c>
      <c r="B150" t="s">
        <v>490</v>
      </c>
      <c r="C150" t="s">
        <v>491</v>
      </c>
      <c r="D150" t="s">
        <v>231</v>
      </c>
      <c r="E150" t="s">
        <v>166</v>
      </c>
      <c r="F150" t="s">
        <v>32</v>
      </c>
      <c r="G150">
        <v>30.810950999999999</v>
      </c>
      <c r="H150">
        <v>-0.36346200000000001</v>
      </c>
      <c r="I150">
        <v>7</v>
      </c>
      <c r="J150">
        <v>1209.57</v>
      </c>
      <c r="K150">
        <v>161</v>
      </c>
      <c r="L150">
        <v>323.29000000000002</v>
      </c>
      <c r="M150">
        <v>1048.57</v>
      </c>
      <c r="N150">
        <v>25</v>
      </c>
      <c r="O150">
        <v>56.14</v>
      </c>
      <c r="P150">
        <v>8.43</v>
      </c>
      <c r="Q150">
        <v>2</v>
      </c>
      <c r="R150">
        <v>0</v>
      </c>
      <c r="S150">
        <v>50</v>
      </c>
      <c r="T150">
        <v>18.43</v>
      </c>
      <c r="U150">
        <v>1</v>
      </c>
      <c r="V150">
        <v>1.17E-3</v>
      </c>
      <c r="W150">
        <v>2021</v>
      </c>
      <c r="X150" t="s">
        <v>33</v>
      </c>
      <c r="Y150" t="s">
        <v>34</v>
      </c>
    </row>
    <row r="151" spans="1:25" x14ac:dyDescent="0.25">
      <c r="A151" t="s">
        <v>492</v>
      </c>
      <c r="B151" t="s">
        <v>493</v>
      </c>
      <c r="C151" t="s">
        <v>494</v>
      </c>
      <c r="D151" t="s">
        <v>95</v>
      </c>
      <c r="E151" t="s">
        <v>96</v>
      </c>
      <c r="F151" t="s">
        <v>32</v>
      </c>
      <c r="G151">
        <v>33.518067000000002</v>
      </c>
      <c r="H151">
        <v>0.99652600000000002</v>
      </c>
      <c r="I151">
        <v>8</v>
      </c>
      <c r="J151">
        <v>1156.1400000000001</v>
      </c>
      <c r="K151">
        <v>450.86</v>
      </c>
      <c r="L151">
        <v>192</v>
      </c>
      <c r="M151">
        <v>705.29</v>
      </c>
      <c r="N151">
        <v>134.13999999999999</v>
      </c>
      <c r="O151">
        <v>136.57</v>
      </c>
      <c r="P151">
        <v>11.86</v>
      </c>
      <c r="Q151">
        <v>7.14</v>
      </c>
      <c r="R151">
        <v>11.57</v>
      </c>
      <c r="S151">
        <v>57.29</v>
      </c>
      <c r="T151">
        <v>84.43</v>
      </c>
      <c r="U151">
        <v>7.86</v>
      </c>
      <c r="V151">
        <v>1.1180000000000001E-3</v>
      </c>
      <c r="W151">
        <v>2021</v>
      </c>
      <c r="X151" t="s">
        <v>33</v>
      </c>
      <c r="Y151" t="s">
        <v>34</v>
      </c>
    </row>
    <row r="152" spans="1:25" x14ac:dyDescent="0.25">
      <c r="A152" t="s">
        <v>495</v>
      </c>
      <c r="B152" t="s">
        <v>496</v>
      </c>
      <c r="C152" t="s">
        <v>497</v>
      </c>
      <c r="D152" t="s">
        <v>47</v>
      </c>
      <c r="E152" t="s">
        <v>48</v>
      </c>
      <c r="F152" t="s">
        <v>32</v>
      </c>
      <c r="G152">
        <v>31.049571</v>
      </c>
      <c r="H152">
        <v>2.4381810000000002</v>
      </c>
      <c r="I152">
        <v>7</v>
      </c>
      <c r="J152">
        <v>1153.43</v>
      </c>
      <c r="K152">
        <v>873</v>
      </c>
      <c r="L152">
        <v>44.14</v>
      </c>
      <c r="M152">
        <v>280.43</v>
      </c>
      <c r="N152">
        <v>170.86</v>
      </c>
      <c r="O152">
        <v>238.29</v>
      </c>
      <c r="P152">
        <v>36</v>
      </c>
      <c r="Q152">
        <v>7.43</v>
      </c>
      <c r="R152">
        <v>59.43</v>
      </c>
      <c r="S152">
        <v>21.57</v>
      </c>
      <c r="T152">
        <v>146</v>
      </c>
      <c r="U152">
        <v>193.43</v>
      </c>
      <c r="V152">
        <v>1.116E-3</v>
      </c>
      <c r="W152">
        <v>2021</v>
      </c>
      <c r="X152" t="s">
        <v>33</v>
      </c>
      <c r="Y152" t="s">
        <v>34</v>
      </c>
    </row>
    <row r="153" spans="1:25" x14ac:dyDescent="0.25">
      <c r="A153" t="s">
        <v>498</v>
      </c>
      <c r="B153" t="s">
        <v>499</v>
      </c>
      <c r="C153" t="s">
        <v>500</v>
      </c>
      <c r="D153" t="s">
        <v>73</v>
      </c>
      <c r="E153" t="s">
        <v>31</v>
      </c>
      <c r="F153" t="s">
        <v>32</v>
      </c>
      <c r="G153">
        <v>31.422578000000001</v>
      </c>
      <c r="H153">
        <v>0.360869</v>
      </c>
      <c r="I153">
        <v>0</v>
      </c>
      <c r="J153">
        <v>1090</v>
      </c>
      <c r="K153">
        <v>429</v>
      </c>
      <c r="L153">
        <v>142.71</v>
      </c>
      <c r="M153">
        <v>661</v>
      </c>
      <c r="N153">
        <v>71</v>
      </c>
      <c r="O153">
        <v>65.86</v>
      </c>
      <c r="P153">
        <v>20.86</v>
      </c>
      <c r="Q153">
        <v>0</v>
      </c>
      <c r="R153">
        <v>0</v>
      </c>
      <c r="S153">
        <v>113.86</v>
      </c>
      <c r="T153">
        <v>76.709999999999994</v>
      </c>
      <c r="U153">
        <v>80.709999999999994</v>
      </c>
      <c r="V153">
        <v>1.054E-3</v>
      </c>
      <c r="W153">
        <v>2021</v>
      </c>
      <c r="X153" t="s">
        <v>33</v>
      </c>
      <c r="Y153" t="s">
        <v>34</v>
      </c>
    </row>
    <row r="154" spans="1:25" x14ac:dyDescent="0.25">
      <c r="A154" t="s">
        <v>501</v>
      </c>
      <c r="B154" t="s">
        <v>502</v>
      </c>
      <c r="C154" t="s">
        <v>503</v>
      </c>
      <c r="D154" t="s">
        <v>111</v>
      </c>
      <c r="E154" t="s">
        <v>112</v>
      </c>
      <c r="F154" t="s">
        <v>32</v>
      </c>
      <c r="G154">
        <v>31.255495</v>
      </c>
      <c r="H154">
        <v>1.507352</v>
      </c>
      <c r="I154">
        <v>7</v>
      </c>
      <c r="J154">
        <v>1054.71</v>
      </c>
      <c r="K154">
        <v>137.43</v>
      </c>
      <c r="L154">
        <v>552.57000000000005</v>
      </c>
      <c r="M154">
        <v>917.29</v>
      </c>
      <c r="N154">
        <v>29.71</v>
      </c>
      <c r="O154">
        <v>44.29</v>
      </c>
      <c r="P154">
        <v>10.71</v>
      </c>
      <c r="Q154">
        <v>0.71</v>
      </c>
      <c r="R154">
        <v>0</v>
      </c>
      <c r="S154">
        <v>23.29</v>
      </c>
      <c r="T154">
        <v>28.71</v>
      </c>
      <c r="U154">
        <v>0</v>
      </c>
      <c r="V154">
        <v>1.0200000000000001E-3</v>
      </c>
      <c r="W154">
        <v>2021</v>
      </c>
      <c r="X154" t="s">
        <v>33</v>
      </c>
      <c r="Y154" t="s">
        <v>34</v>
      </c>
    </row>
    <row r="155" spans="1:25" x14ac:dyDescent="0.25">
      <c r="A155" t="s">
        <v>504</v>
      </c>
      <c r="B155" t="s">
        <v>505</v>
      </c>
      <c r="C155" t="s">
        <v>506</v>
      </c>
      <c r="D155" t="s">
        <v>231</v>
      </c>
      <c r="E155" t="s">
        <v>166</v>
      </c>
      <c r="F155" t="s">
        <v>32</v>
      </c>
      <c r="G155">
        <v>30.328925000000002</v>
      </c>
      <c r="H155">
        <v>-8.8715000000000002E-2</v>
      </c>
      <c r="I155">
        <v>7</v>
      </c>
      <c r="J155">
        <v>1050.1400000000001</v>
      </c>
      <c r="K155">
        <v>388.43</v>
      </c>
      <c r="L155">
        <v>97.43</v>
      </c>
      <c r="M155">
        <v>661.71</v>
      </c>
      <c r="N155">
        <v>195.86</v>
      </c>
      <c r="O155">
        <v>126</v>
      </c>
      <c r="P155">
        <v>8.14</v>
      </c>
      <c r="Q155">
        <v>0</v>
      </c>
      <c r="R155">
        <v>3.43</v>
      </c>
      <c r="S155">
        <v>32.86</v>
      </c>
      <c r="T155">
        <v>19.43</v>
      </c>
      <c r="U155">
        <v>2.71</v>
      </c>
      <c r="V155">
        <v>1.016E-3</v>
      </c>
      <c r="W155">
        <v>2021</v>
      </c>
      <c r="X155" t="s">
        <v>33</v>
      </c>
      <c r="Y155" t="s">
        <v>34</v>
      </c>
    </row>
    <row r="156" spans="1:25" x14ac:dyDescent="0.25">
      <c r="A156" t="s">
        <v>507</v>
      </c>
      <c r="B156" t="s">
        <v>508</v>
      </c>
      <c r="C156" t="s">
        <v>509</v>
      </c>
      <c r="D156" t="s">
        <v>153</v>
      </c>
      <c r="E156" t="s">
        <v>96</v>
      </c>
      <c r="F156" t="s">
        <v>32</v>
      </c>
      <c r="G156">
        <v>33.936703000000001</v>
      </c>
      <c r="H156">
        <v>0.31981399999999999</v>
      </c>
      <c r="I156">
        <v>7</v>
      </c>
      <c r="J156">
        <v>1037</v>
      </c>
      <c r="K156">
        <v>158.71</v>
      </c>
      <c r="L156">
        <v>71.430000000000007</v>
      </c>
      <c r="M156">
        <v>878.29</v>
      </c>
      <c r="N156">
        <v>41.14</v>
      </c>
      <c r="O156">
        <v>73.569999999999993</v>
      </c>
      <c r="P156">
        <v>2.71</v>
      </c>
      <c r="Q156">
        <v>2.71</v>
      </c>
      <c r="R156">
        <v>0</v>
      </c>
      <c r="S156">
        <v>21.71</v>
      </c>
      <c r="T156">
        <v>16.86</v>
      </c>
      <c r="U156">
        <v>0</v>
      </c>
      <c r="V156">
        <v>1.003E-3</v>
      </c>
      <c r="W156">
        <v>2021</v>
      </c>
      <c r="X156" t="s">
        <v>33</v>
      </c>
      <c r="Y156" t="s">
        <v>34</v>
      </c>
    </row>
    <row r="157" spans="1:25" x14ac:dyDescent="0.25">
      <c r="A157" t="s">
        <v>510</v>
      </c>
      <c r="B157" t="s">
        <v>511</v>
      </c>
      <c r="C157" t="s">
        <v>512</v>
      </c>
      <c r="D157" t="s">
        <v>52</v>
      </c>
      <c r="E157" t="s">
        <v>31</v>
      </c>
      <c r="F157" t="s">
        <v>32</v>
      </c>
      <c r="G157">
        <v>32.188076000000002</v>
      </c>
      <c r="H157">
        <v>0.17694499999999999</v>
      </c>
      <c r="I157">
        <v>0</v>
      </c>
      <c r="J157">
        <v>1018.43</v>
      </c>
      <c r="K157">
        <v>166.86</v>
      </c>
      <c r="L157">
        <v>42.57</v>
      </c>
      <c r="M157">
        <v>851.57</v>
      </c>
      <c r="N157">
        <v>43.29</v>
      </c>
      <c r="O157">
        <v>27.71</v>
      </c>
      <c r="P157">
        <v>10.71</v>
      </c>
      <c r="Q157">
        <v>1.43</v>
      </c>
      <c r="R157">
        <v>0.28999999999999998</v>
      </c>
      <c r="S157">
        <v>55.86</v>
      </c>
      <c r="T157">
        <v>23.29</v>
      </c>
      <c r="U157">
        <v>4.29</v>
      </c>
      <c r="V157">
        <v>9.8499999999999998E-4</v>
      </c>
      <c r="W157">
        <v>2021</v>
      </c>
      <c r="X157" t="s">
        <v>33</v>
      </c>
      <c r="Y157" t="s">
        <v>34</v>
      </c>
    </row>
    <row r="158" spans="1:25" x14ac:dyDescent="0.25">
      <c r="A158" t="s">
        <v>513</v>
      </c>
      <c r="B158" t="s">
        <v>514</v>
      </c>
      <c r="C158" t="s">
        <v>515</v>
      </c>
      <c r="D158" t="s">
        <v>30</v>
      </c>
      <c r="E158" t="s">
        <v>31</v>
      </c>
      <c r="F158" t="s">
        <v>32</v>
      </c>
      <c r="G158">
        <v>32.627893</v>
      </c>
      <c r="H158">
        <v>0.41213300000000003</v>
      </c>
      <c r="I158">
        <v>0</v>
      </c>
      <c r="J158">
        <v>1011.43</v>
      </c>
      <c r="K158">
        <v>217.14</v>
      </c>
      <c r="L158">
        <v>132.29</v>
      </c>
      <c r="M158">
        <v>794.29</v>
      </c>
      <c r="N158">
        <v>80.430000000000007</v>
      </c>
      <c r="O158">
        <v>12.71</v>
      </c>
      <c r="P158">
        <v>3.43</v>
      </c>
      <c r="Q158">
        <v>0</v>
      </c>
      <c r="R158">
        <v>0</v>
      </c>
      <c r="S158">
        <v>18.71</v>
      </c>
      <c r="T158">
        <v>98.14</v>
      </c>
      <c r="U158">
        <v>3.71</v>
      </c>
      <c r="V158">
        <v>9.7799999999999992E-4</v>
      </c>
      <c r="W158">
        <v>2021</v>
      </c>
      <c r="X158" t="s">
        <v>33</v>
      </c>
      <c r="Y158" t="s">
        <v>34</v>
      </c>
    </row>
    <row r="159" spans="1:25" x14ac:dyDescent="0.25">
      <c r="A159" t="s">
        <v>516</v>
      </c>
      <c r="B159" t="s">
        <v>517</v>
      </c>
      <c r="C159" t="s">
        <v>518</v>
      </c>
      <c r="D159" t="s">
        <v>62</v>
      </c>
      <c r="E159" t="s">
        <v>31</v>
      </c>
      <c r="F159" t="s">
        <v>32</v>
      </c>
      <c r="G159">
        <v>32.278503000000001</v>
      </c>
      <c r="H159">
        <v>-0.417041</v>
      </c>
      <c r="I159">
        <v>0</v>
      </c>
      <c r="J159">
        <v>960.86</v>
      </c>
      <c r="K159">
        <v>428.14</v>
      </c>
      <c r="L159">
        <v>1.86</v>
      </c>
      <c r="M159">
        <v>532.71</v>
      </c>
      <c r="N159">
        <v>85.57</v>
      </c>
      <c r="O159">
        <v>69.290000000000006</v>
      </c>
      <c r="P159">
        <v>25.86</v>
      </c>
      <c r="Q159">
        <v>0.56999999999999995</v>
      </c>
      <c r="R159">
        <v>0</v>
      </c>
      <c r="S159">
        <v>100.57</v>
      </c>
      <c r="T159">
        <v>114.14</v>
      </c>
      <c r="U159">
        <v>32.14</v>
      </c>
      <c r="V159">
        <v>9.2900000000000003E-4</v>
      </c>
      <c r="W159">
        <v>2021</v>
      </c>
      <c r="X159" t="s">
        <v>33</v>
      </c>
      <c r="Y159" t="s">
        <v>34</v>
      </c>
    </row>
    <row r="160" spans="1:25" x14ac:dyDescent="0.25">
      <c r="A160" t="s">
        <v>519</v>
      </c>
      <c r="B160" t="s">
        <v>520</v>
      </c>
      <c r="C160" t="s">
        <v>521</v>
      </c>
      <c r="D160" t="s">
        <v>95</v>
      </c>
      <c r="E160" t="s">
        <v>96</v>
      </c>
      <c r="F160" t="s">
        <v>32</v>
      </c>
      <c r="G160">
        <v>33.728198999999996</v>
      </c>
      <c r="H160">
        <v>0.50203100000000001</v>
      </c>
      <c r="I160">
        <v>7</v>
      </c>
      <c r="J160">
        <v>953.43</v>
      </c>
      <c r="K160">
        <v>631.86</v>
      </c>
      <c r="L160">
        <v>98.43</v>
      </c>
      <c r="M160">
        <v>321.57</v>
      </c>
      <c r="N160">
        <v>195.71</v>
      </c>
      <c r="O160">
        <v>180.29</v>
      </c>
      <c r="P160">
        <v>28.14</v>
      </c>
      <c r="Q160">
        <v>1.43</v>
      </c>
      <c r="R160">
        <v>2.29</v>
      </c>
      <c r="S160">
        <v>51.14</v>
      </c>
      <c r="T160">
        <v>104.14</v>
      </c>
      <c r="U160">
        <v>68.709999999999994</v>
      </c>
      <c r="V160">
        <v>9.2199999999999997E-4</v>
      </c>
      <c r="W160">
        <v>2021</v>
      </c>
      <c r="X160" t="s">
        <v>33</v>
      </c>
      <c r="Y160" t="s">
        <v>34</v>
      </c>
    </row>
    <row r="161" spans="1:25" x14ac:dyDescent="0.25">
      <c r="A161" t="s">
        <v>522</v>
      </c>
      <c r="B161" t="s">
        <v>523</v>
      </c>
      <c r="C161" t="s">
        <v>524</v>
      </c>
      <c r="D161" t="s">
        <v>165</v>
      </c>
      <c r="E161" t="s">
        <v>166</v>
      </c>
      <c r="F161" t="s">
        <v>32</v>
      </c>
      <c r="G161">
        <v>29.858177000000001</v>
      </c>
      <c r="H161">
        <v>-0.433091</v>
      </c>
      <c r="I161">
        <v>7</v>
      </c>
      <c r="J161">
        <v>932.43</v>
      </c>
      <c r="K161">
        <v>395.14</v>
      </c>
      <c r="L161">
        <v>38.14</v>
      </c>
      <c r="M161">
        <v>537.29</v>
      </c>
      <c r="N161">
        <v>67.569999999999993</v>
      </c>
      <c r="O161">
        <v>97.86</v>
      </c>
      <c r="P161">
        <v>18.29</v>
      </c>
      <c r="Q161">
        <v>0.56999999999999995</v>
      </c>
      <c r="R161">
        <v>8.14</v>
      </c>
      <c r="S161">
        <v>31.57</v>
      </c>
      <c r="T161">
        <v>56.43</v>
      </c>
      <c r="U161">
        <v>114.71</v>
      </c>
      <c r="V161">
        <v>9.0200000000000002E-4</v>
      </c>
      <c r="W161">
        <v>2021</v>
      </c>
      <c r="X161" t="s">
        <v>33</v>
      </c>
      <c r="Y161" t="s">
        <v>34</v>
      </c>
    </row>
    <row r="162" spans="1:25" x14ac:dyDescent="0.25">
      <c r="A162" t="s">
        <v>525</v>
      </c>
      <c r="B162" t="s">
        <v>526</v>
      </c>
      <c r="C162" t="s">
        <v>527</v>
      </c>
      <c r="D162" t="s">
        <v>47</v>
      </c>
      <c r="E162" t="s">
        <v>48</v>
      </c>
      <c r="F162" t="s">
        <v>32</v>
      </c>
      <c r="G162">
        <v>31.150803</v>
      </c>
      <c r="H162">
        <v>2.3201459999999998</v>
      </c>
      <c r="I162">
        <v>7</v>
      </c>
      <c r="J162">
        <v>929.86</v>
      </c>
      <c r="K162">
        <v>767.57</v>
      </c>
      <c r="L162">
        <v>5.29</v>
      </c>
      <c r="M162">
        <v>162.29</v>
      </c>
      <c r="N162">
        <v>74</v>
      </c>
      <c r="O162">
        <v>144.13999999999999</v>
      </c>
      <c r="P162">
        <v>36.29</v>
      </c>
      <c r="Q162">
        <v>3.57</v>
      </c>
      <c r="R162">
        <v>54.43</v>
      </c>
      <c r="S162">
        <v>7.71</v>
      </c>
      <c r="T162">
        <v>192.29</v>
      </c>
      <c r="U162">
        <v>255.14</v>
      </c>
      <c r="V162">
        <v>8.9899999999999995E-4</v>
      </c>
      <c r="W162">
        <v>2021</v>
      </c>
      <c r="X162" t="s">
        <v>33</v>
      </c>
      <c r="Y162" t="s">
        <v>34</v>
      </c>
    </row>
    <row r="163" spans="1:25" x14ac:dyDescent="0.25">
      <c r="A163" t="s">
        <v>528</v>
      </c>
      <c r="B163" t="s">
        <v>529</v>
      </c>
      <c r="C163" t="s">
        <v>530</v>
      </c>
      <c r="D163" t="s">
        <v>358</v>
      </c>
      <c r="E163" t="s">
        <v>166</v>
      </c>
      <c r="F163" t="s">
        <v>32</v>
      </c>
      <c r="G163">
        <v>30.720703</v>
      </c>
      <c r="H163">
        <v>-0.71405799999999997</v>
      </c>
      <c r="I163">
        <v>7</v>
      </c>
      <c r="J163">
        <v>929.86</v>
      </c>
      <c r="K163">
        <v>326.70999999999998</v>
      </c>
      <c r="L163">
        <v>150.29</v>
      </c>
      <c r="M163">
        <v>603.14</v>
      </c>
      <c r="N163">
        <v>85</v>
      </c>
      <c r="O163">
        <v>118</v>
      </c>
      <c r="P163">
        <v>42.29</v>
      </c>
      <c r="Q163">
        <v>4.1399999999999997</v>
      </c>
      <c r="R163">
        <v>5.29</v>
      </c>
      <c r="S163">
        <v>36.29</v>
      </c>
      <c r="T163">
        <v>27</v>
      </c>
      <c r="U163">
        <v>8.7100000000000009</v>
      </c>
      <c r="V163">
        <v>8.9899999999999995E-4</v>
      </c>
      <c r="W163">
        <v>2021</v>
      </c>
      <c r="X163" t="s">
        <v>33</v>
      </c>
      <c r="Y163" t="s">
        <v>34</v>
      </c>
    </row>
    <row r="164" spans="1:25" x14ac:dyDescent="0.25">
      <c r="A164" t="s">
        <v>531</v>
      </c>
      <c r="B164" t="s">
        <v>532</v>
      </c>
      <c r="C164" t="s">
        <v>533</v>
      </c>
      <c r="D164" t="s">
        <v>69</v>
      </c>
      <c r="E164" t="s">
        <v>31</v>
      </c>
      <c r="F164" t="s">
        <v>32</v>
      </c>
      <c r="G164">
        <v>32.321237000000004</v>
      </c>
      <c r="H164">
        <v>0.60038800000000003</v>
      </c>
      <c r="I164">
        <v>0</v>
      </c>
      <c r="J164">
        <v>884.43</v>
      </c>
      <c r="K164">
        <v>69.86</v>
      </c>
      <c r="L164">
        <v>87.29</v>
      </c>
      <c r="M164">
        <v>814.57</v>
      </c>
      <c r="N164">
        <v>29.14</v>
      </c>
      <c r="O164">
        <v>13.71</v>
      </c>
      <c r="P164">
        <v>2.57</v>
      </c>
      <c r="Q164">
        <v>0.28999999999999998</v>
      </c>
      <c r="R164">
        <v>0</v>
      </c>
      <c r="S164">
        <v>13.71</v>
      </c>
      <c r="T164">
        <v>10.43</v>
      </c>
      <c r="U164">
        <v>0</v>
      </c>
      <c r="V164">
        <v>8.5499999999999997E-4</v>
      </c>
      <c r="W164">
        <v>2021</v>
      </c>
      <c r="X164" t="s">
        <v>33</v>
      </c>
      <c r="Y164" t="s">
        <v>34</v>
      </c>
    </row>
    <row r="165" spans="1:25" x14ac:dyDescent="0.25">
      <c r="A165" t="s">
        <v>534</v>
      </c>
      <c r="B165" t="s">
        <v>535</v>
      </c>
      <c r="C165" t="s">
        <v>536</v>
      </c>
      <c r="D165" t="s">
        <v>69</v>
      </c>
      <c r="E165" t="s">
        <v>31</v>
      </c>
      <c r="F165" t="s">
        <v>32</v>
      </c>
      <c r="G165">
        <v>32.230804999999997</v>
      </c>
      <c r="H165">
        <v>0.75460199999999999</v>
      </c>
      <c r="I165">
        <v>0</v>
      </c>
      <c r="J165">
        <v>828.29</v>
      </c>
      <c r="K165">
        <v>213.57</v>
      </c>
      <c r="L165">
        <v>25</v>
      </c>
      <c r="M165">
        <v>614.71</v>
      </c>
      <c r="N165">
        <v>31.71</v>
      </c>
      <c r="O165">
        <v>34.43</v>
      </c>
      <c r="P165">
        <v>1.29</v>
      </c>
      <c r="Q165">
        <v>0.28999999999999998</v>
      </c>
      <c r="R165">
        <v>0</v>
      </c>
      <c r="S165">
        <v>58.14</v>
      </c>
      <c r="T165">
        <v>86.71</v>
      </c>
      <c r="U165">
        <v>1</v>
      </c>
      <c r="V165">
        <v>8.0099999999999995E-4</v>
      </c>
      <c r="W165">
        <v>2021</v>
      </c>
      <c r="X165" t="s">
        <v>33</v>
      </c>
      <c r="Y165" t="s">
        <v>34</v>
      </c>
    </row>
    <row r="166" spans="1:25" x14ac:dyDescent="0.25">
      <c r="A166" t="s">
        <v>537</v>
      </c>
      <c r="B166" t="s">
        <v>538</v>
      </c>
      <c r="C166" t="s">
        <v>539</v>
      </c>
      <c r="D166" t="s">
        <v>336</v>
      </c>
      <c r="E166" t="s">
        <v>112</v>
      </c>
      <c r="F166" t="s">
        <v>32</v>
      </c>
      <c r="G166">
        <v>32.174714000000002</v>
      </c>
      <c r="H166">
        <v>2.0011939999999999</v>
      </c>
      <c r="I166">
        <v>8</v>
      </c>
      <c r="J166">
        <v>826.43</v>
      </c>
      <c r="K166">
        <v>106.29</v>
      </c>
      <c r="L166">
        <v>220.86</v>
      </c>
      <c r="M166">
        <v>720.14</v>
      </c>
      <c r="N166">
        <v>33.14</v>
      </c>
      <c r="O166">
        <v>32.86</v>
      </c>
      <c r="P166">
        <v>3.57</v>
      </c>
      <c r="Q166">
        <v>0</v>
      </c>
      <c r="R166">
        <v>0</v>
      </c>
      <c r="S166">
        <v>30.29</v>
      </c>
      <c r="T166">
        <v>6.43</v>
      </c>
      <c r="U166">
        <v>0</v>
      </c>
      <c r="V166">
        <v>7.9900000000000001E-4</v>
      </c>
      <c r="W166">
        <v>2021</v>
      </c>
      <c r="X166" t="s">
        <v>33</v>
      </c>
      <c r="Y166" t="s">
        <v>34</v>
      </c>
    </row>
    <row r="167" spans="1:25" x14ac:dyDescent="0.25">
      <c r="A167" t="s">
        <v>540</v>
      </c>
      <c r="B167" t="s">
        <v>541</v>
      </c>
      <c r="C167" t="s">
        <v>542</v>
      </c>
      <c r="D167" t="s">
        <v>231</v>
      </c>
      <c r="E167" t="s">
        <v>166</v>
      </c>
      <c r="F167" t="s">
        <v>32</v>
      </c>
      <c r="G167">
        <v>30.391210000000001</v>
      </c>
      <c r="H167">
        <v>-0.49498999999999999</v>
      </c>
      <c r="I167">
        <v>7</v>
      </c>
      <c r="J167">
        <v>820.57</v>
      </c>
      <c r="K167">
        <v>66.86</v>
      </c>
      <c r="L167">
        <v>55.71</v>
      </c>
      <c r="M167">
        <v>753.71</v>
      </c>
      <c r="N167">
        <v>11.43</v>
      </c>
      <c r="O167">
        <v>17.86</v>
      </c>
      <c r="P167">
        <v>2.4300000000000002</v>
      </c>
      <c r="Q167">
        <v>0</v>
      </c>
      <c r="R167">
        <v>0</v>
      </c>
      <c r="S167">
        <v>19</v>
      </c>
      <c r="T167">
        <v>15.86</v>
      </c>
      <c r="U167">
        <v>0.28999999999999998</v>
      </c>
      <c r="V167">
        <v>7.94E-4</v>
      </c>
      <c r="W167">
        <v>2021</v>
      </c>
      <c r="X167" t="s">
        <v>33</v>
      </c>
      <c r="Y167" t="s">
        <v>34</v>
      </c>
    </row>
    <row r="168" spans="1:25" x14ac:dyDescent="0.25">
      <c r="A168" t="s">
        <v>543</v>
      </c>
      <c r="B168" t="s">
        <v>544</v>
      </c>
      <c r="C168" t="s">
        <v>545</v>
      </c>
      <c r="D168" t="s">
        <v>52</v>
      </c>
      <c r="E168" t="s">
        <v>31</v>
      </c>
      <c r="F168" t="s">
        <v>32</v>
      </c>
      <c r="G168">
        <v>31.511686000000001</v>
      </c>
      <c r="H168">
        <v>0.18224499999999999</v>
      </c>
      <c r="I168">
        <v>0</v>
      </c>
      <c r="J168">
        <v>806.86</v>
      </c>
      <c r="K168">
        <v>132.43</v>
      </c>
      <c r="L168">
        <v>32.29</v>
      </c>
      <c r="M168">
        <v>674.43</v>
      </c>
      <c r="N168">
        <v>21.29</v>
      </c>
      <c r="O168">
        <v>19.86</v>
      </c>
      <c r="P168">
        <v>9.14</v>
      </c>
      <c r="Q168">
        <v>0</v>
      </c>
      <c r="R168">
        <v>0</v>
      </c>
      <c r="S168">
        <v>49.57</v>
      </c>
      <c r="T168">
        <v>32.57</v>
      </c>
      <c r="U168">
        <v>0</v>
      </c>
      <c r="V168">
        <v>7.7999999999999999E-4</v>
      </c>
      <c r="W168">
        <v>2021</v>
      </c>
      <c r="X168" t="s">
        <v>33</v>
      </c>
      <c r="Y168" t="s">
        <v>34</v>
      </c>
    </row>
    <row r="169" spans="1:25" x14ac:dyDescent="0.25">
      <c r="A169" t="s">
        <v>546</v>
      </c>
      <c r="B169" t="s">
        <v>547</v>
      </c>
      <c r="C169" t="s">
        <v>548</v>
      </c>
      <c r="D169" t="s">
        <v>52</v>
      </c>
      <c r="E169" t="s">
        <v>31</v>
      </c>
      <c r="F169" t="s">
        <v>32</v>
      </c>
      <c r="G169">
        <v>31.912953000000002</v>
      </c>
      <c r="H169">
        <v>8.3083000000000004E-2</v>
      </c>
      <c r="I169">
        <v>0</v>
      </c>
      <c r="J169">
        <v>804.86</v>
      </c>
      <c r="K169">
        <v>76.86</v>
      </c>
      <c r="L169">
        <v>19.29</v>
      </c>
      <c r="M169">
        <v>728</v>
      </c>
      <c r="N169">
        <v>28.29</v>
      </c>
      <c r="O169">
        <v>12.71</v>
      </c>
      <c r="P169">
        <v>5</v>
      </c>
      <c r="Q169">
        <v>1</v>
      </c>
      <c r="R169">
        <v>0</v>
      </c>
      <c r="S169">
        <v>26.86</v>
      </c>
      <c r="T169">
        <v>3</v>
      </c>
      <c r="U169">
        <v>0</v>
      </c>
      <c r="V169">
        <v>7.7899999999999996E-4</v>
      </c>
      <c r="W169">
        <v>2021</v>
      </c>
      <c r="X169" t="s">
        <v>33</v>
      </c>
      <c r="Y169" t="s">
        <v>34</v>
      </c>
    </row>
    <row r="170" spans="1:25" x14ac:dyDescent="0.25">
      <c r="A170" t="s">
        <v>549</v>
      </c>
      <c r="B170" t="s">
        <v>550</v>
      </c>
      <c r="C170" t="s">
        <v>551</v>
      </c>
      <c r="D170" t="s">
        <v>170</v>
      </c>
      <c r="E170" t="s">
        <v>166</v>
      </c>
      <c r="F170" t="s">
        <v>32</v>
      </c>
      <c r="G170">
        <v>30.144096000000001</v>
      </c>
      <c r="H170">
        <v>-0.92667999999999995</v>
      </c>
      <c r="I170">
        <v>7</v>
      </c>
      <c r="J170">
        <v>800.71</v>
      </c>
      <c r="K170">
        <v>60</v>
      </c>
      <c r="L170">
        <v>243.29</v>
      </c>
      <c r="M170">
        <v>740.71</v>
      </c>
      <c r="N170">
        <v>14.71</v>
      </c>
      <c r="O170">
        <v>26.43</v>
      </c>
      <c r="P170">
        <v>2.14</v>
      </c>
      <c r="Q170">
        <v>0.71</v>
      </c>
      <c r="R170">
        <v>0</v>
      </c>
      <c r="S170">
        <v>2.71</v>
      </c>
      <c r="T170">
        <v>12.29</v>
      </c>
      <c r="U170">
        <v>1</v>
      </c>
      <c r="V170">
        <v>7.7399999999999995E-4</v>
      </c>
      <c r="W170">
        <v>2021</v>
      </c>
      <c r="X170" t="s">
        <v>33</v>
      </c>
      <c r="Y170" t="s">
        <v>34</v>
      </c>
    </row>
    <row r="171" spans="1:25" x14ac:dyDescent="0.25">
      <c r="A171" t="s">
        <v>552</v>
      </c>
      <c r="B171" t="s">
        <v>553</v>
      </c>
      <c r="C171" t="s">
        <v>554</v>
      </c>
      <c r="D171" t="s">
        <v>62</v>
      </c>
      <c r="E171" t="s">
        <v>31</v>
      </c>
      <c r="F171" t="s">
        <v>32</v>
      </c>
      <c r="G171">
        <v>31.265319999999999</v>
      </c>
      <c r="H171">
        <v>-0.56981899999999996</v>
      </c>
      <c r="I171">
        <v>0</v>
      </c>
      <c r="J171">
        <v>796.86</v>
      </c>
      <c r="K171">
        <v>300.14</v>
      </c>
      <c r="L171">
        <v>56.29</v>
      </c>
      <c r="M171">
        <v>496.71</v>
      </c>
      <c r="N171">
        <v>85.29</v>
      </c>
      <c r="O171">
        <v>93.29</v>
      </c>
      <c r="P171">
        <v>29.71</v>
      </c>
      <c r="Q171">
        <v>2</v>
      </c>
      <c r="R171">
        <v>1.86</v>
      </c>
      <c r="S171">
        <v>36</v>
      </c>
      <c r="T171">
        <v>35.86</v>
      </c>
      <c r="U171">
        <v>16.14</v>
      </c>
      <c r="V171">
        <v>7.7099999999999998E-4</v>
      </c>
      <c r="W171">
        <v>2021</v>
      </c>
      <c r="X171" t="s">
        <v>33</v>
      </c>
      <c r="Y171" t="s">
        <v>34</v>
      </c>
    </row>
    <row r="172" spans="1:25" x14ac:dyDescent="0.25">
      <c r="A172" t="s">
        <v>555</v>
      </c>
      <c r="B172" t="s">
        <v>556</v>
      </c>
      <c r="C172" t="s">
        <v>557</v>
      </c>
      <c r="D172" t="s">
        <v>278</v>
      </c>
      <c r="E172" t="s">
        <v>112</v>
      </c>
      <c r="F172" t="s">
        <v>32</v>
      </c>
      <c r="G172">
        <v>30.868113000000001</v>
      </c>
      <c r="H172">
        <v>0.69002799999999997</v>
      </c>
      <c r="I172">
        <v>7</v>
      </c>
      <c r="J172">
        <v>790.43</v>
      </c>
      <c r="K172">
        <v>120</v>
      </c>
      <c r="L172">
        <v>241.57</v>
      </c>
      <c r="M172">
        <v>670.43</v>
      </c>
      <c r="N172">
        <v>5</v>
      </c>
      <c r="O172">
        <v>7.57</v>
      </c>
      <c r="P172">
        <v>1.29</v>
      </c>
      <c r="Q172">
        <v>0</v>
      </c>
      <c r="R172">
        <v>0</v>
      </c>
      <c r="S172">
        <v>4.29</v>
      </c>
      <c r="T172">
        <v>7</v>
      </c>
      <c r="U172">
        <v>94.86</v>
      </c>
      <c r="V172">
        <v>7.6499999999999995E-4</v>
      </c>
      <c r="W172">
        <v>2021</v>
      </c>
      <c r="X172" t="s">
        <v>33</v>
      </c>
      <c r="Y172" t="s">
        <v>34</v>
      </c>
    </row>
    <row r="173" spans="1:25" x14ac:dyDescent="0.25">
      <c r="A173" t="s">
        <v>558</v>
      </c>
      <c r="B173" t="s">
        <v>559</v>
      </c>
      <c r="C173" t="s">
        <v>560</v>
      </c>
      <c r="D173" t="s">
        <v>30</v>
      </c>
      <c r="E173" t="s">
        <v>31</v>
      </c>
      <c r="F173" t="s">
        <v>32</v>
      </c>
      <c r="G173">
        <v>32.142552999999999</v>
      </c>
      <c r="H173">
        <v>0.60548000000000002</v>
      </c>
      <c r="I173">
        <v>0</v>
      </c>
      <c r="J173">
        <v>788.57</v>
      </c>
      <c r="K173">
        <v>339.14</v>
      </c>
      <c r="L173">
        <v>126.14</v>
      </c>
      <c r="M173">
        <v>449.43</v>
      </c>
      <c r="N173">
        <v>119</v>
      </c>
      <c r="O173">
        <v>71.569999999999993</v>
      </c>
      <c r="P173">
        <v>25</v>
      </c>
      <c r="Q173">
        <v>1.71</v>
      </c>
      <c r="R173">
        <v>0.71</v>
      </c>
      <c r="S173">
        <v>91.57</v>
      </c>
      <c r="T173">
        <v>29.57</v>
      </c>
      <c r="U173">
        <v>0</v>
      </c>
      <c r="V173">
        <v>7.6300000000000001E-4</v>
      </c>
      <c r="W173">
        <v>2021</v>
      </c>
      <c r="X173" t="s">
        <v>33</v>
      </c>
      <c r="Y173" t="s">
        <v>34</v>
      </c>
    </row>
    <row r="174" spans="1:25" x14ac:dyDescent="0.25">
      <c r="A174" t="s">
        <v>561</v>
      </c>
      <c r="B174" t="s">
        <v>562</v>
      </c>
      <c r="C174" t="s">
        <v>563</v>
      </c>
      <c r="D174" t="s">
        <v>336</v>
      </c>
      <c r="E174" t="s">
        <v>112</v>
      </c>
      <c r="F174" t="s">
        <v>32</v>
      </c>
      <c r="G174">
        <v>31.456133000000001</v>
      </c>
      <c r="H174">
        <v>1.9564299999999999</v>
      </c>
      <c r="I174">
        <v>7</v>
      </c>
      <c r="J174">
        <v>764</v>
      </c>
      <c r="K174">
        <v>68.709999999999994</v>
      </c>
      <c r="L174">
        <v>134.13999999999999</v>
      </c>
      <c r="M174">
        <v>695.29</v>
      </c>
      <c r="N174">
        <v>5.57</v>
      </c>
      <c r="O174">
        <v>27.71</v>
      </c>
      <c r="P174">
        <v>4.8600000000000003</v>
      </c>
      <c r="Q174">
        <v>1</v>
      </c>
      <c r="R174">
        <v>0</v>
      </c>
      <c r="S174">
        <v>10.57</v>
      </c>
      <c r="T174">
        <v>19</v>
      </c>
      <c r="U174">
        <v>0</v>
      </c>
      <c r="V174">
        <v>7.3899999999999997E-4</v>
      </c>
      <c r="W174">
        <v>2021</v>
      </c>
      <c r="X174" t="s">
        <v>33</v>
      </c>
      <c r="Y174" t="s">
        <v>34</v>
      </c>
    </row>
    <row r="175" spans="1:25" x14ac:dyDescent="0.25">
      <c r="A175" t="s">
        <v>564</v>
      </c>
      <c r="B175" t="s">
        <v>565</v>
      </c>
      <c r="C175" t="s">
        <v>566</v>
      </c>
      <c r="D175" t="s">
        <v>69</v>
      </c>
      <c r="E175" t="s">
        <v>31</v>
      </c>
      <c r="F175" t="s">
        <v>32</v>
      </c>
      <c r="G175">
        <v>32.741114000000003</v>
      </c>
      <c r="H175">
        <v>1.188836</v>
      </c>
      <c r="I175">
        <v>0</v>
      </c>
      <c r="J175">
        <v>761.71</v>
      </c>
      <c r="K175">
        <v>182.43</v>
      </c>
      <c r="L175">
        <v>129.86000000000001</v>
      </c>
      <c r="M175">
        <v>579.29</v>
      </c>
      <c r="N175">
        <v>44.43</v>
      </c>
      <c r="O175">
        <v>34.86</v>
      </c>
      <c r="P175">
        <v>32</v>
      </c>
      <c r="Q175">
        <v>0</v>
      </c>
      <c r="R175">
        <v>0</v>
      </c>
      <c r="S175">
        <v>45</v>
      </c>
      <c r="T175">
        <v>26.14</v>
      </c>
      <c r="U175">
        <v>0</v>
      </c>
      <c r="V175">
        <v>7.3700000000000002E-4</v>
      </c>
      <c r="W175">
        <v>2021</v>
      </c>
      <c r="X175" t="s">
        <v>33</v>
      </c>
      <c r="Y175" t="s">
        <v>34</v>
      </c>
    </row>
    <row r="176" spans="1:25" x14ac:dyDescent="0.25">
      <c r="A176" t="s">
        <v>567</v>
      </c>
      <c r="B176" t="s">
        <v>568</v>
      </c>
      <c r="C176" t="s">
        <v>569</v>
      </c>
      <c r="D176" t="s">
        <v>336</v>
      </c>
      <c r="E176" t="s">
        <v>112</v>
      </c>
      <c r="F176" t="s">
        <v>32</v>
      </c>
      <c r="G176">
        <v>31.530892000000001</v>
      </c>
      <c r="H176">
        <v>1.632703</v>
      </c>
      <c r="I176">
        <v>7</v>
      </c>
      <c r="J176">
        <v>751.43</v>
      </c>
      <c r="K176">
        <v>192.86</v>
      </c>
      <c r="L176">
        <v>202.57</v>
      </c>
      <c r="M176">
        <v>558.57000000000005</v>
      </c>
      <c r="N176">
        <v>34.43</v>
      </c>
      <c r="O176">
        <v>38.29</v>
      </c>
      <c r="P176">
        <v>13.43</v>
      </c>
      <c r="Q176">
        <v>0.71</v>
      </c>
      <c r="R176">
        <v>1.43</v>
      </c>
      <c r="S176">
        <v>37.71</v>
      </c>
      <c r="T176">
        <v>53.29</v>
      </c>
      <c r="U176">
        <v>13.57</v>
      </c>
      <c r="V176">
        <v>7.27E-4</v>
      </c>
      <c r="W176">
        <v>2021</v>
      </c>
      <c r="X176" t="s">
        <v>33</v>
      </c>
      <c r="Y176" t="s">
        <v>34</v>
      </c>
    </row>
    <row r="177" spans="1:25" x14ac:dyDescent="0.25">
      <c r="A177" t="s">
        <v>570</v>
      </c>
      <c r="B177" t="s">
        <v>172</v>
      </c>
      <c r="C177" t="s">
        <v>173</v>
      </c>
      <c r="D177" t="s">
        <v>52</v>
      </c>
      <c r="E177" t="s">
        <v>31</v>
      </c>
      <c r="F177" t="s">
        <v>32</v>
      </c>
      <c r="G177">
        <v>32.421719000000003</v>
      </c>
      <c r="H177">
        <v>0.22134699999999999</v>
      </c>
      <c r="I177">
        <v>0</v>
      </c>
      <c r="J177">
        <v>727.14</v>
      </c>
      <c r="K177">
        <v>143.5</v>
      </c>
      <c r="L177">
        <v>44.86</v>
      </c>
      <c r="M177">
        <v>583.64</v>
      </c>
      <c r="N177">
        <v>50.14</v>
      </c>
      <c r="O177">
        <v>39.14</v>
      </c>
      <c r="P177">
        <v>2.57</v>
      </c>
      <c r="Q177">
        <v>0.43</v>
      </c>
      <c r="R177">
        <v>0.64</v>
      </c>
      <c r="S177">
        <v>29.79</v>
      </c>
      <c r="T177">
        <v>12.57</v>
      </c>
      <c r="U177">
        <v>8.2100000000000009</v>
      </c>
      <c r="V177">
        <v>7.0299999999999996E-4</v>
      </c>
      <c r="W177">
        <v>2021</v>
      </c>
      <c r="X177" t="s">
        <v>33</v>
      </c>
      <c r="Y177" t="s">
        <v>34</v>
      </c>
    </row>
    <row r="178" spans="1:25" x14ac:dyDescent="0.25">
      <c r="A178" t="s">
        <v>571</v>
      </c>
      <c r="B178" t="s">
        <v>572</v>
      </c>
      <c r="C178" t="s">
        <v>573</v>
      </c>
      <c r="D178" t="s">
        <v>111</v>
      </c>
      <c r="E178" t="s">
        <v>112</v>
      </c>
      <c r="F178" t="s">
        <v>32</v>
      </c>
      <c r="G178">
        <v>30.732997000000001</v>
      </c>
      <c r="H178">
        <v>0.86363999999999996</v>
      </c>
      <c r="I178">
        <v>7</v>
      </c>
      <c r="J178">
        <v>721.43</v>
      </c>
      <c r="K178">
        <v>80.430000000000007</v>
      </c>
      <c r="L178">
        <v>106.57</v>
      </c>
      <c r="M178">
        <v>641</v>
      </c>
      <c r="N178">
        <v>18</v>
      </c>
      <c r="O178">
        <v>20.14</v>
      </c>
      <c r="P178">
        <v>1.29</v>
      </c>
      <c r="Q178">
        <v>0.28999999999999998</v>
      </c>
      <c r="R178">
        <v>0.28999999999999998</v>
      </c>
      <c r="S178">
        <v>17.71</v>
      </c>
      <c r="T178">
        <v>22.71</v>
      </c>
      <c r="U178">
        <v>0</v>
      </c>
      <c r="V178">
        <v>6.9800000000000005E-4</v>
      </c>
      <c r="W178">
        <v>2021</v>
      </c>
      <c r="X178" t="s">
        <v>33</v>
      </c>
      <c r="Y178" t="s">
        <v>34</v>
      </c>
    </row>
    <row r="179" spans="1:25" x14ac:dyDescent="0.25">
      <c r="A179" t="s">
        <v>574</v>
      </c>
      <c r="B179" t="s">
        <v>575</v>
      </c>
      <c r="C179" t="s">
        <v>576</v>
      </c>
      <c r="D179" t="s">
        <v>52</v>
      </c>
      <c r="E179" t="s">
        <v>31</v>
      </c>
      <c r="F179" t="s">
        <v>32</v>
      </c>
      <c r="G179">
        <v>32.058627000000001</v>
      </c>
      <c r="H179">
        <v>0.58672199999999997</v>
      </c>
      <c r="I179">
        <v>0</v>
      </c>
      <c r="J179">
        <v>719</v>
      </c>
      <c r="K179">
        <v>140</v>
      </c>
      <c r="L179">
        <v>34.86</v>
      </c>
      <c r="M179">
        <v>579</v>
      </c>
      <c r="N179">
        <v>15.29</v>
      </c>
      <c r="O179">
        <v>19.29</v>
      </c>
      <c r="P179">
        <v>9.7100000000000009</v>
      </c>
      <c r="Q179">
        <v>0.56999999999999995</v>
      </c>
      <c r="R179">
        <v>0</v>
      </c>
      <c r="S179">
        <v>88.86</v>
      </c>
      <c r="T179">
        <v>6.29</v>
      </c>
      <c r="U179">
        <v>0</v>
      </c>
      <c r="V179">
        <v>6.9499999999999998E-4</v>
      </c>
      <c r="W179">
        <v>2021</v>
      </c>
      <c r="X179" t="s">
        <v>33</v>
      </c>
      <c r="Y179" t="s">
        <v>34</v>
      </c>
    </row>
    <row r="180" spans="1:25" x14ac:dyDescent="0.25">
      <c r="A180" t="s">
        <v>577</v>
      </c>
      <c r="B180" t="s">
        <v>578</v>
      </c>
      <c r="C180" t="s">
        <v>579</v>
      </c>
      <c r="D180" t="s">
        <v>161</v>
      </c>
      <c r="E180" t="s">
        <v>96</v>
      </c>
      <c r="F180" t="s">
        <v>32</v>
      </c>
      <c r="G180">
        <v>33.749118000000003</v>
      </c>
      <c r="H180">
        <v>1.0884819999999999</v>
      </c>
      <c r="I180">
        <v>7</v>
      </c>
      <c r="J180">
        <v>706.57</v>
      </c>
      <c r="K180">
        <v>123.14</v>
      </c>
      <c r="L180">
        <v>358</v>
      </c>
      <c r="M180">
        <v>583.42999999999995</v>
      </c>
      <c r="N180">
        <v>40.43</v>
      </c>
      <c r="O180">
        <v>52.57</v>
      </c>
      <c r="P180">
        <v>5.57</v>
      </c>
      <c r="Q180">
        <v>1.71</v>
      </c>
      <c r="R180">
        <v>0</v>
      </c>
      <c r="S180">
        <v>17</v>
      </c>
      <c r="T180">
        <v>5.86</v>
      </c>
      <c r="U180">
        <v>0</v>
      </c>
      <c r="V180">
        <v>6.8300000000000001E-4</v>
      </c>
      <c r="W180">
        <v>2021</v>
      </c>
      <c r="X180" t="s">
        <v>33</v>
      </c>
      <c r="Y180" t="s">
        <v>34</v>
      </c>
    </row>
    <row r="181" spans="1:25" x14ac:dyDescent="0.25">
      <c r="A181" t="s">
        <v>580</v>
      </c>
      <c r="B181" t="s">
        <v>581</v>
      </c>
      <c r="C181" t="s">
        <v>582</v>
      </c>
      <c r="D181" t="s">
        <v>95</v>
      </c>
      <c r="E181" t="s">
        <v>96</v>
      </c>
      <c r="F181" t="s">
        <v>32</v>
      </c>
      <c r="G181">
        <v>33.507558000000003</v>
      </c>
      <c r="H181">
        <v>0.751834</v>
      </c>
      <c r="I181">
        <v>8</v>
      </c>
      <c r="J181">
        <v>706</v>
      </c>
      <c r="K181">
        <v>262.86</v>
      </c>
      <c r="L181">
        <v>262</v>
      </c>
      <c r="M181">
        <v>443.14</v>
      </c>
      <c r="N181">
        <v>40.29</v>
      </c>
      <c r="O181">
        <v>120.86</v>
      </c>
      <c r="P181">
        <v>8.7100000000000009</v>
      </c>
      <c r="Q181">
        <v>3.43</v>
      </c>
      <c r="R181">
        <v>0.28999999999999998</v>
      </c>
      <c r="S181">
        <v>41.57</v>
      </c>
      <c r="T181">
        <v>47</v>
      </c>
      <c r="U181">
        <v>0.71</v>
      </c>
      <c r="V181">
        <v>6.8300000000000001E-4</v>
      </c>
      <c r="W181">
        <v>2021</v>
      </c>
      <c r="X181" t="s">
        <v>33</v>
      </c>
      <c r="Y181" t="s">
        <v>34</v>
      </c>
    </row>
    <row r="182" spans="1:25" x14ac:dyDescent="0.25">
      <c r="A182" t="s">
        <v>583</v>
      </c>
      <c r="B182" t="s">
        <v>584</v>
      </c>
      <c r="C182" t="s">
        <v>585</v>
      </c>
      <c r="D182" t="s">
        <v>69</v>
      </c>
      <c r="E182" t="s">
        <v>31</v>
      </c>
      <c r="F182" t="s">
        <v>32</v>
      </c>
      <c r="G182">
        <v>32.337544000000001</v>
      </c>
      <c r="H182">
        <v>1.1349849999999999</v>
      </c>
      <c r="I182">
        <v>0</v>
      </c>
      <c r="J182">
        <v>665.71</v>
      </c>
      <c r="K182">
        <v>202.14</v>
      </c>
      <c r="L182">
        <v>12.86</v>
      </c>
      <c r="M182">
        <v>463.57</v>
      </c>
      <c r="N182">
        <v>52.57</v>
      </c>
      <c r="O182">
        <v>34</v>
      </c>
      <c r="P182">
        <v>27.57</v>
      </c>
      <c r="Q182">
        <v>0</v>
      </c>
      <c r="R182">
        <v>0</v>
      </c>
      <c r="S182">
        <v>15.29</v>
      </c>
      <c r="T182">
        <v>69.86</v>
      </c>
      <c r="U182">
        <v>2.86</v>
      </c>
      <c r="V182">
        <v>6.4400000000000004E-4</v>
      </c>
      <c r="W182">
        <v>2021</v>
      </c>
      <c r="X182" t="s">
        <v>33</v>
      </c>
      <c r="Y182" t="s">
        <v>34</v>
      </c>
    </row>
    <row r="183" spans="1:25" x14ac:dyDescent="0.25">
      <c r="A183" t="s">
        <v>586</v>
      </c>
      <c r="B183" t="s">
        <v>587</v>
      </c>
      <c r="C183" t="s">
        <v>588</v>
      </c>
      <c r="D183" t="s">
        <v>69</v>
      </c>
      <c r="E183" t="s">
        <v>31</v>
      </c>
      <c r="F183" t="s">
        <v>32</v>
      </c>
      <c r="G183">
        <v>32.034579000000001</v>
      </c>
      <c r="H183">
        <v>1.081372</v>
      </c>
      <c r="I183">
        <v>0</v>
      </c>
      <c r="J183">
        <v>661.29</v>
      </c>
      <c r="K183">
        <v>98.43</v>
      </c>
      <c r="L183">
        <v>62.71</v>
      </c>
      <c r="M183">
        <v>562.86</v>
      </c>
      <c r="N183">
        <v>16.57</v>
      </c>
      <c r="O183">
        <v>25</v>
      </c>
      <c r="P183">
        <v>17</v>
      </c>
      <c r="Q183">
        <v>0.28999999999999998</v>
      </c>
      <c r="R183">
        <v>0</v>
      </c>
      <c r="S183">
        <v>20.71</v>
      </c>
      <c r="T183">
        <v>18.57</v>
      </c>
      <c r="U183">
        <v>0.28999999999999998</v>
      </c>
      <c r="V183">
        <v>6.4000000000000005E-4</v>
      </c>
      <c r="W183">
        <v>2021</v>
      </c>
      <c r="X183" t="s">
        <v>33</v>
      </c>
      <c r="Y183" t="s">
        <v>34</v>
      </c>
    </row>
    <row r="184" spans="1:25" x14ac:dyDescent="0.25">
      <c r="A184" t="s">
        <v>589</v>
      </c>
      <c r="B184" t="s">
        <v>590</v>
      </c>
      <c r="C184" t="s">
        <v>591</v>
      </c>
      <c r="D184" t="s">
        <v>30</v>
      </c>
      <c r="E184" t="s">
        <v>31</v>
      </c>
      <c r="F184" t="s">
        <v>32</v>
      </c>
      <c r="G184">
        <v>32.498758000000002</v>
      </c>
      <c r="H184">
        <v>0.43432100000000001</v>
      </c>
      <c r="I184">
        <v>0</v>
      </c>
      <c r="J184">
        <v>644.42999999999995</v>
      </c>
      <c r="K184">
        <v>102</v>
      </c>
      <c r="L184">
        <v>36.71</v>
      </c>
      <c r="M184">
        <v>542.42999999999995</v>
      </c>
      <c r="N184">
        <v>33.57</v>
      </c>
      <c r="O184">
        <v>19.57</v>
      </c>
      <c r="P184">
        <v>2.4300000000000002</v>
      </c>
      <c r="Q184">
        <v>0</v>
      </c>
      <c r="R184">
        <v>0</v>
      </c>
      <c r="S184">
        <v>26.14</v>
      </c>
      <c r="T184">
        <v>20.29</v>
      </c>
      <c r="U184">
        <v>0</v>
      </c>
      <c r="V184">
        <v>6.2299999999999996E-4</v>
      </c>
      <c r="W184">
        <v>2021</v>
      </c>
      <c r="X184" t="s">
        <v>33</v>
      </c>
      <c r="Y184" t="s">
        <v>34</v>
      </c>
    </row>
    <row r="185" spans="1:25" x14ac:dyDescent="0.25">
      <c r="A185" t="s">
        <v>592</v>
      </c>
      <c r="B185" t="s">
        <v>593</v>
      </c>
      <c r="C185" t="s">
        <v>594</v>
      </c>
      <c r="D185" t="s">
        <v>111</v>
      </c>
      <c r="E185" t="s">
        <v>112</v>
      </c>
      <c r="F185" t="s">
        <v>32</v>
      </c>
      <c r="G185">
        <v>31.312851999999999</v>
      </c>
      <c r="H185">
        <v>1.576503</v>
      </c>
      <c r="I185">
        <v>7</v>
      </c>
      <c r="J185">
        <v>626.71</v>
      </c>
      <c r="K185">
        <v>68.430000000000007</v>
      </c>
      <c r="L185">
        <v>381.14</v>
      </c>
      <c r="M185">
        <v>558.29</v>
      </c>
      <c r="N185">
        <v>6</v>
      </c>
      <c r="O185">
        <v>23.86</v>
      </c>
      <c r="P185">
        <v>16</v>
      </c>
      <c r="Q185">
        <v>0</v>
      </c>
      <c r="R185">
        <v>0.28999999999999998</v>
      </c>
      <c r="S185">
        <v>8.43</v>
      </c>
      <c r="T185">
        <v>13.86</v>
      </c>
      <c r="U185">
        <v>0</v>
      </c>
      <c r="V185">
        <v>6.0599999999999998E-4</v>
      </c>
      <c r="W185">
        <v>2021</v>
      </c>
      <c r="X185" t="s">
        <v>33</v>
      </c>
      <c r="Y185" t="s">
        <v>34</v>
      </c>
    </row>
    <row r="186" spans="1:25" x14ac:dyDescent="0.25">
      <c r="A186" t="s">
        <v>595</v>
      </c>
      <c r="B186" t="s">
        <v>596</v>
      </c>
      <c r="C186" t="s">
        <v>597</v>
      </c>
      <c r="D186" t="s">
        <v>170</v>
      </c>
      <c r="E186" t="s">
        <v>166</v>
      </c>
      <c r="F186" t="s">
        <v>32</v>
      </c>
      <c r="G186">
        <v>30.162317000000002</v>
      </c>
      <c r="H186">
        <v>-0.67949400000000004</v>
      </c>
      <c r="I186">
        <v>8</v>
      </c>
      <c r="J186">
        <v>618.29</v>
      </c>
      <c r="K186">
        <v>57.71</v>
      </c>
      <c r="L186">
        <v>240.14</v>
      </c>
      <c r="M186">
        <v>560.57000000000005</v>
      </c>
      <c r="N186">
        <v>11.71</v>
      </c>
      <c r="O186">
        <v>17.29</v>
      </c>
      <c r="P186">
        <v>0.71</v>
      </c>
      <c r="Q186">
        <v>0</v>
      </c>
      <c r="R186">
        <v>0</v>
      </c>
      <c r="S186">
        <v>18.43</v>
      </c>
      <c r="T186">
        <v>8.86</v>
      </c>
      <c r="U186">
        <v>0.71</v>
      </c>
      <c r="V186">
        <v>5.9800000000000001E-4</v>
      </c>
      <c r="W186">
        <v>2021</v>
      </c>
      <c r="X186" t="s">
        <v>33</v>
      </c>
      <c r="Y186" t="s">
        <v>34</v>
      </c>
    </row>
    <row r="187" spans="1:25" x14ac:dyDescent="0.25">
      <c r="A187" t="s">
        <v>598</v>
      </c>
      <c r="B187" t="s">
        <v>599</v>
      </c>
      <c r="C187" t="s">
        <v>600</v>
      </c>
      <c r="D187" t="s">
        <v>165</v>
      </c>
      <c r="E187" t="s">
        <v>166</v>
      </c>
      <c r="F187" t="s">
        <v>32</v>
      </c>
      <c r="G187">
        <v>30.099931999999999</v>
      </c>
      <c r="H187">
        <v>0.29586800000000002</v>
      </c>
      <c r="I187">
        <v>7</v>
      </c>
      <c r="J187">
        <v>616.14</v>
      </c>
      <c r="K187">
        <v>60.86</v>
      </c>
      <c r="L187">
        <v>92.86</v>
      </c>
      <c r="M187">
        <v>555.29</v>
      </c>
      <c r="N187">
        <v>24.86</v>
      </c>
      <c r="O187">
        <v>16.71</v>
      </c>
      <c r="P187">
        <v>5</v>
      </c>
      <c r="Q187">
        <v>0</v>
      </c>
      <c r="R187">
        <v>0</v>
      </c>
      <c r="S187">
        <v>7.57</v>
      </c>
      <c r="T187">
        <v>6.71</v>
      </c>
      <c r="U187">
        <v>0</v>
      </c>
      <c r="V187">
        <v>5.9599999999999996E-4</v>
      </c>
      <c r="W187">
        <v>2021</v>
      </c>
      <c r="X187" t="s">
        <v>33</v>
      </c>
      <c r="Y187" t="s">
        <v>34</v>
      </c>
    </row>
    <row r="188" spans="1:25" x14ac:dyDescent="0.25">
      <c r="A188" t="s">
        <v>601</v>
      </c>
      <c r="B188" t="s">
        <v>602</v>
      </c>
      <c r="C188" t="s">
        <v>603</v>
      </c>
      <c r="D188" t="s">
        <v>30</v>
      </c>
      <c r="E188" t="s">
        <v>31</v>
      </c>
      <c r="F188" t="s">
        <v>32</v>
      </c>
      <c r="G188">
        <v>32.495108000000002</v>
      </c>
      <c r="H188">
        <v>0.23862700000000001</v>
      </c>
      <c r="I188">
        <v>0</v>
      </c>
      <c r="J188">
        <v>599.14</v>
      </c>
      <c r="K188">
        <v>65.430000000000007</v>
      </c>
      <c r="L188">
        <v>6.57</v>
      </c>
      <c r="M188">
        <v>533.71</v>
      </c>
      <c r="N188">
        <v>25.14</v>
      </c>
      <c r="O188">
        <v>10.57</v>
      </c>
      <c r="P188">
        <v>4</v>
      </c>
      <c r="Q188">
        <v>0.56999999999999995</v>
      </c>
      <c r="R188">
        <v>0</v>
      </c>
      <c r="S188">
        <v>17.71</v>
      </c>
      <c r="T188">
        <v>7.43</v>
      </c>
      <c r="U188">
        <v>0</v>
      </c>
      <c r="V188">
        <v>5.8E-4</v>
      </c>
      <c r="W188">
        <v>2021</v>
      </c>
      <c r="X188" t="s">
        <v>33</v>
      </c>
      <c r="Y188" t="s">
        <v>34</v>
      </c>
    </row>
    <row r="189" spans="1:25" x14ac:dyDescent="0.25">
      <c r="A189" t="s">
        <v>604</v>
      </c>
      <c r="B189" t="s">
        <v>605</v>
      </c>
      <c r="C189" t="s">
        <v>606</v>
      </c>
      <c r="D189" t="s">
        <v>153</v>
      </c>
      <c r="E189" t="s">
        <v>96</v>
      </c>
      <c r="F189" t="s">
        <v>32</v>
      </c>
      <c r="G189">
        <v>34.131228</v>
      </c>
      <c r="H189">
        <v>0.564168</v>
      </c>
      <c r="I189">
        <v>7</v>
      </c>
      <c r="J189">
        <v>579.29</v>
      </c>
      <c r="K189">
        <v>349</v>
      </c>
      <c r="L189">
        <v>32.14</v>
      </c>
      <c r="M189">
        <v>230.29</v>
      </c>
      <c r="N189">
        <v>55.86</v>
      </c>
      <c r="O189">
        <v>151.71</v>
      </c>
      <c r="P189">
        <v>7.43</v>
      </c>
      <c r="Q189">
        <v>2.4300000000000002</v>
      </c>
      <c r="R189">
        <v>19.86</v>
      </c>
      <c r="S189">
        <v>18.43</v>
      </c>
      <c r="T189">
        <v>74.569999999999993</v>
      </c>
      <c r="U189">
        <v>18.71</v>
      </c>
      <c r="V189">
        <v>5.5999999999999995E-4</v>
      </c>
      <c r="W189">
        <v>2021</v>
      </c>
      <c r="X189" t="s">
        <v>33</v>
      </c>
      <c r="Y189" t="s">
        <v>34</v>
      </c>
    </row>
    <row r="190" spans="1:25" x14ac:dyDescent="0.25">
      <c r="A190" t="s">
        <v>607</v>
      </c>
      <c r="B190" t="s">
        <v>608</v>
      </c>
      <c r="C190" t="s">
        <v>609</v>
      </c>
      <c r="D190" t="s">
        <v>231</v>
      </c>
      <c r="E190" t="s">
        <v>166</v>
      </c>
      <c r="F190" t="s">
        <v>32</v>
      </c>
      <c r="G190">
        <v>30.452486</v>
      </c>
      <c r="H190">
        <v>-0.42425499999999999</v>
      </c>
      <c r="I190">
        <v>7</v>
      </c>
      <c r="J190">
        <v>557.86</v>
      </c>
      <c r="K190">
        <v>194</v>
      </c>
      <c r="L190">
        <v>54.57</v>
      </c>
      <c r="M190">
        <v>363.86</v>
      </c>
      <c r="N190">
        <v>37.71</v>
      </c>
      <c r="O190">
        <v>115.14</v>
      </c>
      <c r="P190">
        <v>9</v>
      </c>
      <c r="Q190">
        <v>0</v>
      </c>
      <c r="R190">
        <v>0</v>
      </c>
      <c r="S190">
        <v>28.14</v>
      </c>
      <c r="T190">
        <v>4</v>
      </c>
      <c r="U190">
        <v>0</v>
      </c>
      <c r="V190">
        <v>5.4000000000000001E-4</v>
      </c>
      <c r="W190">
        <v>2021</v>
      </c>
      <c r="X190" t="s">
        <v>33</v>
      </c>
      <c r="Y190" t="s">
        <v>34</v>
      </c>
    </row>
    <row r="191" spans="1:25" x14ac:dyDescent="0.25">
      <c r="A191" t="s">
        <v>610</v>
      </c>
      <c r="B191" t="s">
        <v>611</v>
      </c>
      <c r="C191" t="s">
        <v>612</v>
      </c>
      <c r="D191" t="s">
        <v>170</v>
      </c>
      <c r="E191" t="s">
        <v>166</v>
      </c>
      <c r="F191" t="s">
        <v>32</v>
      </c>
      <c r="G191">
        <v>30.298435000000001</v>
      </c>
      <c r="H191">
        <v>-0.91650600000000004</v>
      </c>
      <c r="I191">
        <v>7</v>
      </c>
      <c r="J191">
        <v>553.29</v>
      </c>
      <c r="K191">
        <v>58</v>
      </c>
      <c r="L191">
        <v>60.86</v>
      </c>
      <c r="M191">
        <v>495.29</v>
      </c>
      <c r="N191">
        <v>21.43</v>
      </c>
      <c r="O191">
        <v>15.86</v>
      </c>
      <c r="P191">
        <v>0.28999999999999998</v>
      </c>
      <c r="Q191">
        <v>0.28999999999999998</v>
      </c>
      <c r="R191">
        <v>0.28999999999999998</v>
      </c>
      <c r="S191">
        <v>6.43</v>
      </c>
      <c r="T191">
        <v>11.43</v>
      </c>
      <c r="U191">
        <v>2</v>
      </c>
      <c r="V191">
        <v>5.3499999999999999E-4</v>
      </c>
      <c r="W191">
        <v>2021</v>
      </c>
      <c r="X191" t="s">
        <v>33</v>
      </c>
      <c r="Y191" t="s">
        <v>34</v>
      </c>
    </row>
    <row r="192" spans="1:25" x14ac:dyDescent="0.25">
      <c r="A192" t="s">
        <v>613</v>
      </c>
      <c r="B192" t="s">
        <v>614</v>
      </c>
      <c r="C192" t="s">
        <v>615</v>
      </c>
      <c r="D192" t="s">
        <v>30</v>
      </c>
      <c r="E192" t="s">
        <v>31</v>
      </c>
      <c r="F192" t="s">
        <v>32</v>
      </c>
      <c r="G192">
        <v>32.808813999999998</v>
      </c>
      <c r="H192">
        <v>0.58974700000000002</v>
      </c>
      <c r="I192">
        <v>0</v>
      </c>
      <c r="J192">
        <v>545</v>
      </c>
      <c r="K192">
        <v>230.14</v>
      </c>
      <c r="L192">
        <v>178</v>
      </c>
      <c r="M192">
        <v>314.86</v>
      </c>
      <c r="N192">
        <v>35.71</v>
      </c>
      <c r="O192">
        <v>67.709999999999994</v>
      </c>
      <c r="P192">
        <v>14</v>
      </c>
      <c r="Q192">
        <v>7.43</v>
      </c>
      <c r="R192">
        <v>8</v>
      </c>
      <c r="S192">
        <v>62.43</v>
      </c>
      <c r="T192">
        <v>21.29</v>
      </c>
      <c r="U192">
        <v>13.57</v>
      </c>
      <c r="V192">
        <v>5.2700000000000002E-4</v>
      </c>
      <c r="W192">
        <v>2021</v>
      </c>
      <c r="X192" t="s">
        <v>33</v>
      </c>
      <c r="Y192" t="s">
        <v>34</v>
      </c>
    </row>
    <row r="193" spans="1:25" x14ac:dyDescent="0.25">
      <c r="A193" t="s">
        <v>616</v>
      </c>
      <c r="B193" t="s">
        <v>617</v>
      </c>
      <c r="C193" t="s">
        <v>618</v>
      </c>
      <c r="D193" t="s">
        <v>278</v>
      </c>
      <c r="E193" t="s">
        <v>112</v>
      </c>
      <c r="F193" t="s">
        <v>32</v>
      </c>
      <c r="G193">
        <v>30.450400999999999</v>
      </c>
      <c r="H193">
        <v>0.18670800000000001</v>
      </c>
      <c r="I193">
        <v>7</v>
      </c>
      <c r="J193">
        <v>522.42999999999995</v>
      </c>
      <c r="K193">
        <v>133.43</v>
      </c>
      <c r="L193">
        <v>111.29</v>
      </c>
      <c r="M193">
        <v>389</v>
      </c>
      <c r="N193">
        <v>42.57</v>
      </c>
      <c r="O193">
        <v>71.709999999999994</v>
      </c>
      <c r="P193">
        <v>2.86</v>
      </c>
      <c r="Q193">
        <v>0</v>
      </c>
      <c r="R193">
        <v>0.28999999999999998</v>
      </c>
      <c r="S193">
        <v>8.86</v>
      </c>
      <c r="T193">
        <v>7.14</v>
      </c>
      <c r="U193">
        <v>0</v>
      </c>
      <c r="V193">
        <v>5.0500000000000002E-4</v>
      </c>
      <c r="W193">
        <v>2021</v>
      </c>
      <c r="X193" t="s">
        <v>33</v>
      </c>
      <c r="Y193" t="s">
        <v>34</v>
      </c>
    </row>
    <row r="194" spans="1:25" x14ac:dyDescent="0.25">
      <c r="A194" t="s">
        <v>619</v>
      </c>
      <c r="B194" t="s">
        <v>620</v>
      </c>
      <c r="C194" t="s">
        <v>621</v>
      </c>
      <c r="D194" t="s">
        <v>358</v>
      </c>
      <c r="E194" t="s">
        <v>166</v>
      </c>
      <c r="F194" t="s">
        <v>32</v>
      </c>
      <c r="G194">
        <v>30.51192</v>
      </c>
      <c r="H194">
        <v>-0.74193699999999996</v>
      </c>
      <c r="I194">
        <v>7</v>
      </c>
      <c r="J194">
        <v>511</v>
      </c>
      <c r="K194">
        <v>101.71</v>
      </c>
      <c r="L194">
        <v>7.29</v>
      </c>
      <c r="M194">
        <v>409.29</v>
      </c>
      <c r="N194">
        <v>3.86</v>
      </c>
      <c r="O194">
        <v>6.71</v>
      </c>
      <c r="P194">
        <v>1</v>
      </c>
      <c r="Q194">
        <v>0</v>
      </c>
      <c r="R194">
        <v>0</v>
      </c>
      <c r="S194">
        <v>2</v>
      </c>
      <c r="T194">
        <v>29.86</v>
      </c>
      <c r="U194">
        <v>58.29</v>
      </c>
      <c r="V194">
        <v>4.9399999999999997E-4</v>
      </c>
      <c r="W194">
        <v>2021</v>
      </c>
      <c r="X194" t="s">
        <v>33</v>
      </c>
      <c r="Y194" t="s">
        <v>34</v>
      </c>
    </row>
    <row r="195" spans="1:25" x14ac:dyDescent="0.25">
      <c r="A195" t="s">
        <v>622</v>
      </c>
      <c r="B195" t="s">
        <v>623</v>
      </c>
      <c r="C195" t="s">
        <v>624</v>
      </c>
      <c r="D195" t="s">
        <v>170</v>
      </c>
      <c r="E195" t="s">
        <v>166</v>
      </c>
      <c r="F195" t="s">
        <v>32</v>
      </c>
      <c r="G195">
        <v>30.058603000000002</v>
      </c>
      <c r="H195">
        <v>-1.0129109999999999</v>
      </c>
      <c r="I195">
        <v>7</v>
      </c>
      <c r="J195">
        <v>511</v>
      </c>
      <c r="K195">
        <v>101.71</v>
      </c>
      <c r="L195">
        <v>7.29</v>
      </c>
      <c r="M195">
        <v>409.29</v>
      </c>
      <c r="N195">
        <v>3.86</v>
      </c>
      <c r="O195">
        <v>6.71</v>
      </c>
      <c r="P195">
        <v>1</v>
      </c>
      <c r="Q195">
        <v>0</v>
      </c>
      <c r="R195">
        <v>0</v>
      </c>
      <c r="S195">
        <v>2</v>
      </c>
      <c r="T195">
        <v>29.86</v>
      </c>
      <c r="U195">
        <v>58.29</v>
      </c>
      <c r="V195">
        <v>4.9399999999999997E-4</v>
      </c>
      <c r="W195">
        <v>2021</v>
      </c>
      <c r="X195" t="s">
        <v>33</v>
      </c>
      <c r="Y195" t="s">
        <v>34</v>
      </c>
    </row>
    <row r="196" spans="1:25" x14ac:dyDescent="0.25">
      <c r="A196" t="s">
        <v>625</v>
      </c>
      <c r="B196" t="s">
        <v>626</v>
      </c>
      <c r="C196" t="s">
        <v>627</v>
      </c>
      <c r="D196" t="s">
        <v>69</v>
      </c>
      <c r="E196" t="s">
        <v>31</v>
      </c>
      <c r="F196" t="s">
        <v>32</v>
      </c>
      <c r="G196">
        <v>32.514186000000002</v>
      </c>
      <c r="H196">
        <v>1.460026</v>
      </c>
      <c r="I196">
        <v>0</v>
      </c>
      <c r="J196">
        <v>501.14</v>
      </c>
      <c r="K196">
        <v>235</v>
      </c>
      <c r="L196">
        <v>64.14</v>
      </c>
      <c r="M196">
        <v>266.14</v>
      </c>
      <c r="N196">
        <v>49.71</v>
      </c>
      <c r="O196">
        <v>31</v>
      </c>
      <c r="P196">
        <v>63.14</v>
      </c>
      <c r="Q196">
        <v>0</v>
      </c>
      <c r="R196">
        <v>0</v>
      </c>
      <c r="S196">
        <v>35.57</v>
      </c>
      <c r="T196">
        <v>53.29</v>
      </c>
      <c r="U196">
        <v>2.29</v>
      </c>
      <c r="V196">
        <v>4.8500000000000003E-4</v>
      </c>
      <c r="W196">
        <v>2021</v>
      </c>
      <c r="X196" t="s">
        <v>33</v>
      </c>
      <c r="Y196" t="s">
        <v>34</v>
      </c>
    </row>
    <row r="197" spans="1:25" x14ac:dyDescent="0.25">
      <c r="A197" t="s">
        <v>628</v>
      </c>
      <c r="B197" t="s">
        <v>629</v>
      </c>
      <c r="C197" t="s">
        <v>630</v>
      </c>
      <c r="D197" t="s">
        <v>62</v>
      </c>
      <c r="E197" t="s">
        <v>31</v>
      </c>
      <c r="F197" t="s">
        <v>32</v>
      </c>
      <c r="G197">
        <v>31.770430000000001</v>
      </c>
      <c r="H197">
        <v>-0.44472299999999998</v>
      </c>
      <c r="I197">
        <v>0</v>
      </c>
      <c r="J197">
        <v>499.29</v>
      </c>
      <c r="K197">
        <v>106.57</v>
      </c>
      <c r="L197">
        <v>20.86</v>
      </c>
      <c r="M197">
        <v>392.71</v>
      </c>
      <c r="N197">
        <v>40.86</v>
      </c>
      <c r="O197">
        <v>22.86</v>
      </c>
      <c r="P197">
        <v>0</v>
      </c>
      <c r="Q197">
        <v>0</v>
      </c>
      <c r="R197">
        <v>0.28999999999999998</v>
      </c>
      <c r="S197">
        <v>27.43</v>
      </c>
      <c r="T197">
        <v>15.14</v>
      </c>
      <c r="U197">
        <v>0</v>
      </c>
      <c r="V197">
        <v>4.8299999999999998E-4</v>
      </c>
      <c r="W197">
        <v>2021</v>
      </c>
      <c r="X197" t="s">
        <v>33</v>
      </c>
      <c r="Y197" t="s">
        <v>34</v>
      </c>
    </row>
    <row r="198" spans="1:25" x14ac:dyDescent="0.25">
      <c r="A198" t="s">
        <v>631</v>
      </c>
      <c r="B198" t="s">
        <v>632</v>
      </c>
      <c r="C198" t="s">
        <v>633</v>
      </c>
      <c r="D198" t="s">
        <v>111</v>
      </c>
      <c r="E198" t="s">
        <v>112</v>
      </c>
      <c r="F198" t="s">
        <v>32</v>
      </c>
      <c r="G198">
        <v>30.976202000000001</v>
      </c>
      <c r="H198">
        <v>0.96223899999999996</v>
      </c>
      <c r="I198">
        <v>7</v>
      </c>
      <c r="J198">
        <v>498.14</v>
      </c>
      <c r="K198">
        <v>65.290000000000006</v>
      </c>
      <c r="L198">
        <v>235</v>
      </c>
      <c r="M198">
        <v>432.86</v>
      </c>
      <c r="N198">
        <v>11</v>
      </c>
      <c r="O198">
        <v>16.29</v>
      </c>
      <c r="P198">
        <v>13.29</v>
      </c>
      <c r="Q198">
        <v>0.28999999999999998</v>
      </c>
      <c r="R198">
        <v>0.71</v>
      </c>
      <c r="S198">
        <v>9.57</v>
      </c>
      <c r="T198">
        <v>9.86</v>
      </c>
      <c r="U198">
        <v>4.29</v>
      </c>
      <c r="V198">
        <v>4.8200000000000001E-4</v>
      </c>
      <c r="W198">
        <v>2021</v>
      </c>
      <c r="X198" t="s">
        <v>33</v>
      </c>
      <c r="Y198" t="s">
        <v>34</v>
      </c>
    </row>
    <row r="199" spans="1:25" x14ac:dyDescent="0.25">
      <c r="A199" t="s">
        <v>634</v>
      </c>
      <c r="B199" t="s">
        <v>635</v>
      </c>
      <c r="C199" t="s">
        <v>636</v>
      </c>
      <c r="D199" t="s">
        <v>153</v>
      </c>
      <c r="E199" t="s">
        <v>96</v>
      </c>
      <c r="F199" t="s">
        <v>32</v>
      </c>
      <c r="G199">
        <v>34.030026999999997</v>
      </c>
      <c r="H199">
        <v>0.40287200000000001</v>
      </c>
      <c r="I199">
        <v>7</v>
      </c>
      <c r="J199">
        <v>493.86</v>
      </c>
      <c r="K199">
        <v>95.86</v>
      </c>
      <c r="L199">
        <v>176.43</v>
      </c>
      <c r="M199">
        <v>398</v>
      </c>
      <c r="N199">
        <v>21.29</v>
      </c>
      <c r="O199">
        <v>35.43</v>
      </c>
      <c r="P199">
        <v>14.57</v>
      </c>
      <c r="Q199">
        <v>3.57</v>
      </c>
      <c r="R199">
        <v>3.71</v>
      </c>
      <c r="S199">
        <v>7.29</v>
      </c>
      <c r="T199">
        <v>9.2899999999999991</v>
      </c>
      <c r="U199">
        <v>0.71</v>
      </c>
      <c r="V199">
        <v>4.7800000000000002E-4</v>
      </c>
      <c r="W199">
        <v>2021</v>
      </c>
      <c r="X199" t="s">
        <v>33</v>
      </c>
      <c r="Y199" t="s">
        <v>34</v>
      </c>
    </row>
    <row r="200" spans="1:25" x14ac:dyDescent="0.25">
      <c r="A200" t="s">
        <v>637</v>
      </c>
      <c r="B200" t="s">
        <v>638</v>
      </c>
      <c r="C200" t="s">
        <v>639</v>
      </c>
      <c r="D200" t="s">
        <v>358</v>
      </c>
      <c r="E200" t="s">
        <v>166</v>
      </c>
      <c r="F200" t="s">
        <v>32</v>
      </c>
      <c r="G200">
        <v>30.686824000000001</v>
      </c>
      <c r="H200">
        <v>-0.490537</v>
      </c>
      <c r="I200">
        <v>7</v>
      </c>
      <c r="J200">
        <v>493.86</v>
      </c>
      <c r="K200">
        <v>95.29</v>
      </c>
      <c r="L200">
        <v>96.86</v>
      </c>
      <c r="M200">
        <v>398.57</v>
      </c>
      <c r="N200">
        <v>8.2899999999999991</v>
      </c>
      <c r="O200">
        <v>34.71</v>
      </c>
      <c r="P200">
        <v>11.43</v>
      </c>
      <c r="Q200">
        <v>2.71</v>
      </c>
      <c r="R200">
        <v>6.43</v>
      </c>
      <c r="S200">
        <v>6</v>
      </c>
      <c r="T200">
        <v>25.71</v>
      </c>
      <c r="U200">
        <v>0</v>
      </c>
      <c r="V200">
        <v>4.7800000000000002E-4</v>
      </c>
      <c r="W200">
        <v>2021</v>
      </c>
      <c r="X200" t="s">
        <v>33</v>
      </c>
      <c r="Y200" t="s">
        <v>34</v>
      </c>
    </row>
    <row r="201" spans="1:25" x14ac:dyDescent="0.25">
      <c r="A201" t="s">
        <v>640</v>
      </c>
      <c r="B201" t="s">
        <v>641</v>
      </c>
      <c r="C201" t="s">
        <v>642</v>
      </c>
      <c r="D201" t="s">
        <v>231</v>
      </c>
      <c r="E201" t="s">
        <v>166</v>
      </c>
      <c r="F201" t="s">
        <v>32</v>
      </c>
      <c r="G201">
        <v>30.749956999999998</v>
      </c>
      <c r="H201">
        <v>-0.24979399999999999</v>
      </c>
      <c r="I201">
        <v>7</v>
      </c>
      <c r="J201">
        <v>493.86</v>
      </c>
      <c r="K201">
        <v>95.29</v>
      </c>
      <c r="L201">
        <v>96.86</v>
      </c>
      <c r="M201">
        <v>398.57</v>
      </c>
      <c r="N201">
        <v>8.2899999999999991</v>
      </c>
      <c r="O201">
        <v>34.71</v>
      </c>
      <c r="P201">
        <v>11.43</v>
      </c>
      <c r="Q201">
        <v>2.71</v>
      </c>
      <c r="R201">
        <v>6.43</v>
      </c>
      <c r="S201">
        <v>6</v>
      </c>
      <c r="T201">
        <v>25.71</v>
      </c>
      <c r="U201">
        <v>0</v>
      </c>
      <c r="V201">
        <v>4.7800000000000002E-4</v>
      </c>
      <c r="W201">
        <v>2021</v>
      </c>
      <c r="X201" t="s">
        <v>33</v>
      </c>
      <c r="Y201" t="s">
        <v>34</v>
      </c>
    </row>
    <row r="202" spans="1:25" x14ac:dyDescent="0.25">
      <c r="A202" t="s">
        <v>643</v>
      </c>
      <c r="B202" t="s">
        <v>644</v>
      </c>
      <c r="C202" t="s">
        <v>645</v>
      </c>
      <c r="D202" t="s">
        <v>95</v>
      </c>
      <c r="E202" t="s">
        <v>96</v>
      </c>
      <c r="F202" t="s">
        <v>32</v>
      </c>
      <c r="G202">
        <v>33.688172000000002</v>
      </c>
      <c r="H202">
        <v>0.80605400000000005</v>
      </c>
      <c r="I202">
        <v>7</v>
      </c>
      <c r="J202">
        <v>492.43</v>
      </c>
      <c r="K202">
        <v>137.86000000000001</v>
      </c>
      <c r="L202">
        <v>75.430000000000007</v>
      </c>
      <c r="M202">
        <v>354.57</v>
      </c>
      <c r="N202">
        <v>15.14</v>
      </c>
      <c r="O202">
        <v>83</v>
      </c>
      <c r="P202">
        <v>7.29</v>
      </c>
      <c r="Q202">
        <v>0</v>
      </c>
      <c r="R202">
        <v>1</v>
      </c>
      <c r="S202">
        <v>5.86</v>
      </c>
      <c r="T202">
        <v>20</v>
      </c>
      <c r="U202">
        <v>5.57</v>
      </c>
      <c r="V202">
        <v>4.7600000000000002E-4</v>
      </c>
      <c r="W202">
        <v>2021</v>
      </c>
      <c r="X202" t="s">
        <v>33</v>
      </c>
      <c r="Y202" t="s">
        <v>34</v>
      </c>
    </row>
    <row r="203" spans="1:25" x14ac:dyDescent="0.25">
      <c r="A203" t="s">
        <v>646</v>
      </c>
      <c r="B203" t="s">
        <v>647</v>
      </c>
      <c r="C203" t="s">
        <v>648</v>
      </c>
      <c r="D203" t="s">
        <v>170</v>
      </c>
      <c r="E203" t="s">
        <v>166</v>
      </c>
      <c r="F203" t="s">
        <v>32</v>
      </c>
      <c r="G203">
        <v>29.848275000000001</v>
      </c>
      <c r="H203">
        <v>-1.015023</v>
      </c>
      <c r="I203">
        <v>7</v>
      </c>
      <c r="J203">
        <v>464.14</v>
      </c>
      <c r="K203">
        <v>82.29</v>
      </c>
      <c r="L203">
        <v>42.71</v>
      </c>
      <c r="M203">
        <v>381.86</v>
      </c>
      <c r="N203">
        <v>18.43</v>
      </c>
      <c r="O203">
        <v>20.43</v>
      </c>
      <c r="P203">
        <v>0.28999999999999998</v>
      </c>
      <c r="Q203">
        <v>0</v>
      </c>
      <c r="R203">
        <v>0</v>
      </c>
      <c r="S203">
        <v>30</v>
      </c>
      <c r="T203">
        <v>13.14</v>
      </c>
      <c r="U203">
        <v>0</v>
      </c>
      <c r="V203">
        <v>4.4900000000000002E-4</v>
      </c>
      <c r="W203">
        <v>2021</v>
      </c>
      <c r="X203" t="s">
        <v>33</v>
      </c>
      <c r="Y203" t="s">
        <v>34</v>
      </c>
    </row>
    <row r="204" spans="1:25" x14ac:dyDescent="0.25">
      <c r="A204" t="s">
        <v>649</v>
      </c>
      <c r="B204" t="s">
        <v>650</v>
      </c>
      <c r="C204" t="s">
        <v>651</v>
      </c>
      <c r="D204" t="s">
        <v>30</v>
      </c>
      <c r="E204" t="s">
        <v>31</v>
      </c>
      <c r="F204" t="s">
        <v>32</v>
      </c>
      <c r="G204">
        <v>32.470516000000003</v>
      </c>
      <c r="H204">
        <v>0.36590099999999998</v>
      </c>
      <c r="I204">
        <v>0</v>
      </c>
      <c r="J204">
        <v>462</v>
      </c>
      <c r="K204">
        <v>138.57</v>
      </c>
      <c r="L204">
        <v>3.14</v>
      </c>
      <c r="M204">
        <v>323.43</v>
      </c>
      <c r="N204">
        <v>81.86</v>
      </c>
      <c r="O204">
        <v>31.14</v>
      </c>
      <c r="P204">
        <v>3.86</v>
      </c>
      <c r="Q204">
        <v>0.28999999999999998</v>
      </c>
      <c r="R204">
        <v>0</v>
      </c>
      <c r="S204">
        <v>7.57</v>
      </c>
      <c r="T204">
        <v>11</v>
      </c>
      <c r="U204">
        <v>2.86</v>
      </c>
      <c r="V204">
        <v>4.4700000000000002E-4</v>
      </c>
      <c r="W204">
        <v>2021</v>
      </c>
      <c r="X204" t="s">
        <v>33</v>
      </c>
      <c r="Y204" t="s">
        <v>34</v>
      </c>
    </row>
    <row r="205" spans="1:25" x14ac:dyDescent="0.25">
      <c r="A205" t="s">
        <v>652</v>
      </c>
      <c r="B205" t="s">
        <v>653</v>
      </c>
      <c r="C205" t="s">
        <v>654</v>
      </c>
      <c r="D205" t="s">
        <v>30</v>
      </c>
      <c r="E205" t="s">
        <v>31</v>
      </c>
      <c r="F205" t="s">
        <v>32</v>
      </c>
      <c r="G205">
        <v>32.244425999999997</v>
      </c>
      <c r="H205">
        <v>0.46287600000000001</v>
      </c>
      <c r="I205">
        <v>0</v>
      </c>
      <c r="J205">
        <v>454.43</v>
      </c>
      <c r="K205">
        <v>49.29</v>
      </c>
      <c r="L205">
        <v>0</v>
      </c>
      <c r="M205">
        <v>405.14</v>
      </c>
      <c r="N205">
        <v>11.57</v>
      </c>
      <c r="O205">
        <v>19.43</v>
      </c>
      <c r="P205">
        <v>1.86</v>
      </c>
      <c r="Q205">
        <v>0.28999999999999998</v>
      </c>
      <c r="R205">
        <v>0</v>
      </c>
      <c r="S205">
        <v>11.43</v>
      </c>
      <c r="T205">
        <v>4.71</v>
      </c>
      <c r="U205">
        <v>0</v>
      </c>
      <c r="V205">
        <v>4.4000000000000002E-4</v>
      </c>
      <c r="W205">
        <v>2021</v>
      </c>
      <c r="X205" t="s">
        <v>33</v>
      </c>
      <c r="Y205" t="s">
        <v>34</v>
      </c>
    </row>
    <row r="206" spans="1:25" x14ac:dyDescent="0.25">
      <c r="A206" t="s">
        <v>655</v>
      </c>
      <c r="B206" t="s">
        <v>656</v>
      </c>
      <c r="C206" t="s">
        <v>657</v>
      </c>
      <c r="D206" t="s">
        <v>170</v>
      </c>
      <c r="E206" t="s">
        <v>166</v>
      </c>
      <c r="F206" t="s">
        <v>32</v>
      </c>
      <c r="G206">
        <v>29.892419</v>
      </c>
      <c r="H206">
        <v>-0.94286000000000003</v>
      </c>
      <c r="I206">
        <v>7</v>
      </c>
      <c r="J206">
        <v>435.29</v>
      </c>
      <c r="K206">
        <v>18.29</v>
      </c>
      <c r="L206">
        <v>109.86</v>
      </c>
      <c r="M206">
        <v>417</v>
      </c>
      <c r="N206">
        <v>2.14</v>
      </c>
      <c r="O206">
        <v>9.57</v>
      </c>
      <c r="P206">
        <v>2.86</v>
      </c>
      <c r="Q206">
        <v>0</v>
      </c>
      <c r="R206">
        <v>0</v>
      </c>
      <c r="S206">
        <v>3</v>
      </c>
      <c r="T206">
        <v>0.71</v>
      </c>
      <c r="U206">
        <v>0</v>
      </c>
      <c r="V206">
        <v>4.2099999999999999E-4</v>
      </c>
      <c r="W206">
        <v>2021</v>
      </c>
      <c r="X206" t="s">
        <v>33</v>
      </c>
      <c r="Y206" t="s">
        <v>34</v>
      </c>
    </row>
    <row r="207" spans="1:25" x14ac:dyDescent="0.25">
      <c r="A207" t="s">
        <v>658</v>
      </c>
      <c r="B207" t="s">
        <v>659</v>
      </c>
      <c r="C207" t="s">
        <v>660</v>
      </c>
      <c r="D207" t="s">
        <v>278</v>
      </c>
      <c r="E207" t="s">
        <v>112</v>
      </c>
      <c r="F207" t="s">
        <v>32</v>
      </c>
      <c r="G207">
        <v>30.510655</v>
      </c>
      <c r="H207">
        <v>0.157971</v>
      </c>
      <c r="I207">
        <v>7</v>
      </c>
      <c r="J207">
        <v>432</v>
      </c>
      <c r="K207">
        <v>29.86</v>
      </c>
      <c r="L207">
        <v>177.57</v>
      </c>
      <c r="M207">
        <v>402.14</v>
      </c>
      <c r="N207">
        <v>6.86</v>
      </c>
      <c r="O207">
        <v>7.86</v>
      </c>
      <c r="P207">
        <v>3.71</v>
      </c>
      <c r="Q207">
        <v>0</v>
      </c>
      <c r="R207">
        <v>0</v>
      </c>
      <c r="S207">
        <v>5.86</v>
      </c>
      <c r="T207">
        <v>5.57</v>
      </c>
      <c r="U207">
        <v>0</v>
      </c>
      <c r="V207">
        <v>4.1800000000000002E-4</v>
      </c>
      <c r="W207">
        <v>2021</v>
      </c>
      <c r="X207" t="s">
        <v>33</v>
      </c>
      <c r="Y207" t="s">
        <v>34</v>
      </c>
    </row>
    <row r="208" spans="1:25" x14ac:dyDescent="0.25">
      <c r="A208" t="s">
        <v>614</v>
      </c>
      <c r="B208" t="s">
        <v>661</v>
      </c>
      <c r="C208" t="s">
        <v>662</v>
      </c>
      <c r="D208" t="s">
        <v>30</v>
      </c>
      <c r="E208" t="s">
        <v>31</v>
      </c>
      <c r="F208" t="s">
        <v>32</v>
      </c>
      <c r="G208">
        <v>32.808813999999998</v>
      </c>
      <c r="H208">
        <v>0.58974700000000002</v>
      </c>
      <c r="I208">
        <v>0</v>
      </c>
      <c r="J208">
        <v>429.57</v>
      </c>
      <c r="K208">
        <v>92.71</v>
      </c>
      <c r="L208">
        <v>61.43</v>
      </c>
      <c r="M208">
        <v>336.86</v>
      </c>
      <c r="N208">
        <v>20</v>
      </c>
      <c r="O208">
        <v>17.57</v>
      </c>
      <c r="P208">
        <v>0</v>
      </c>
      <c r="Q208">
        <v>0</v>
      </c>
      <c r="R208">
        <v>0</v>
      </c>
      <c r="S208">
        <v>29.29</v>
      </c>
      <c r="T208">
        <v>25.86</v>
      </c>
      <c r="U208">
        <v>0</v>
      </c>
      <c r="V208">
        <v>4.1599999999999997E-4</v>
      </c>
      <c r="W208">
        <v>2021</v>
      </c>
      <c r="X208" t="s">
        <v>33</v>
      </c>
      <c r="Y208" t="s">
        <v>34</v>
      </c>
    </row>
    <row r="209" spans="1:25" x14ac:dyDescent="0.25">
      <c r="A209" t="s">
        <v>663</v>
      </c>
      <c r="B209" t="s">
        <v>664</v>
      </c>
      <c r="C209" t="s">
        <v>665</v>
      </c>
      <c r="D209" t="s">
        <v>358</v>
      </c>
      <c r="E209" t="s">
        <v>166</v>
      </c>
      <c r="F209" t="s">
        <v>32</v>
      </c>
      <c r="G209">
        <v>31.106636999999999</v>
      </c>
      <c r="H209">
        <v>-0.68909699999999996</v>
      </c>
      <c r="I209">
        <v>7</v>
      </c>
      <c r="J209">
        <v>397</v>
      </c>
      <c r="K209">
        <v>127.86</v>
      </c>
      <c r="L209">
        <v>63.14</v>
      </c>
      <c r="M209">
        <v>269.14</v>
      </c>
      <c r="N209">
        <v>17.86</v>
      </c>
      <c r="O209">
        <v>42.86</v>
      </c>
      <c r="P209">
        <v>4.1399999999999997</v>
      </c>
      <c r="Q209">
        <v>0.28999999999999998</v>
      </c>
      <c r="R209">
        <v>0.56999999999999995</v>
      </c>
      <c r="S209">
        <v>42.71</v>
      </c>
      <c r="T209">
        <v>18.71</v>
      </c>
      <c r="U209">
        <v>0.71</v>
      </c>
      <c r="V209">
        <v>3.8400000000000001E-4</v>
      </c>
      <c r="W209">
        <v>2021</v>
      </c>
      <c r="X209" t="s">
        <v>33</v>
      </c>
      <c r="Y209" t="s">
        <v>34</v>
      </c>
    </row>
    <row r="210" spans="1:25" x14ac:dyDescent="0.25">
      <c r="A210" t="s">
        <v>666</v>
      </c>
      <c r="B210" t="s">
        <v>667</v>
      </c>
      <c r="C210" t="s">
        <v>668</v>
      </c>
      <c r="D210" t="s">
        <v>111</v>
      </c>
      <c r="E210" t="s">
        <v>112</v>
      </c>
      <c r="F210" t="s">
        <v>32</v>
      </c>
      <c r="G210">
        <v>30.993897</v>
      </c>
      <c r="H210">
        <v>1.321774</v>
      </c>
      <c r="I210">
        <v>7</v>
      </c>
      <c r="J210">
        <v>386.14</v>
      </c>
      <c r="K210">
        <v>99.29</v>
      </c>
      <c r="L210">
        <v>21.43</v>
      </c>
      <c r="M210">
        <v>286.86</v>
      </c>
      <c r="N210">
        <v>5.43</v>
      </c>
      <c r="O210">
        <v>22.14</v>
      </c>
      <c r="P210">
        <v>2.86</v>
      </c>
      <c r="Q210">
        <v>0</v>
      </c>
      <c r="R210">
        <v>0.28999999999999998</v>
      </c>
      <c r="S210">
        <v>14.86</v>
      </c>
      <c r="T210">
        <v>28.43</v>
      </c>
      <c r="U210">
        <v>25.29</v>
      </c>
      <c r="V210">
        <v>3.7300000000000001E-4</v>
      </c>
      <c r="W210">
        <v>2021</v>
      </c>
      <c r="X210" t="s">
        <v>33</v>
      </c>
      <c r="Y210" t="s">
        <v>34</v>
      </c>
    </row>
    <row r="211" spans="1:25" x14ac:dyDescent="0.25">
      <c r="A211" t="s">
        <v>669</v>
      </c>
      <c r="B211" t="s">
        <v>670</v>
      </c>
      <c r="C211" t="s">
        <v>671</v>
      </c>
      <c r="D211" t="s">
        <v>358</v>
      </c>
      <c r="E211" t="s">
        <v>166</v>
      </c>
      <c r="F211" t="s">
        <v>32</v>
      </c>
      <c r="G211">
        <v>30.809709999999999</v>
      </c>
      <c r="H211">
        <v>-0.99506300000000003</v>
      </c>
      <c r="I211">
        <v>7</v>
      </c>
      <c r="J211">
        <v>376.14</v>
      </c>
      <c r="K211">
        <v>60.14</v>
      </c>
      <c r="L211">
        <v>77.290000000000006</v>
      </c>
      <c r="M211">
        <v>316</v>
      </c>
      <c r="N211">
        <v>13.57</v>
      </c>
      <c r="O211">
        <v>21.71</v>
      </c>
      <c r="P211">
        <v>0.86</v>
      </c>
      <c r="Q211">
        <v>0.28999999999999998</v>
      </c>
      <c r="R211">
        <v>0</v>
      </c>
      <c r="S211">
        <v>11.43</v>
      </c>
      <c r="T211">
        <v>12</v>
      </c>
      <c r="U211">
        <v>0.28999999999999998</v>
      </c>
      <c r="V211">
        <v>3.6400000000000001E-4</v>
      </c>
      <c r="W211">
        <v>2021</v>
      </c>
      <c r="X211" t="s">
        <v>33</v>
      </c>
      <c r="Y211" t="s">
        <v>34</v>
      </c>
    </row>
    <row r="212" spans="1:25" x14ac:dyDescent="0.25">
      <c r="A212" t="s">
        <v>672</v>
      </c>
      <c r="B212" t="s">
        <v>673</v>
      </c>
      <c r="C212" t="s">
        <v>674</v>
      </c>
      <c r="D212" t="s">
        <v>153</v>
      </c>
      <c r="E212" t="s">
        <v>96</v>
      </c>
      <c r="F212" t="s">
        <v>32</v>
      </c>
      <c r="G212">
        <v>34.019886999999997</v>
      </c>
      <c r="H212">
        <v>0.48093799999999998</v>
      </c>
      <c r="I212">
        <v>7</v>
      </c>
      <c r="J212">
        <v>340.71</v>
      </c>
      <c r="K212">
        <v>135</v>
      </c>
      <c r="L212">
        <v>53.86</v>
      </c>
      <c r="M212">
        <v>205.71</v>
      </c>
      <c r="N212">
        <v>53.43</v>
      </c>
      <c r="O212">
        <v>45.71</v>
      </c>
      <c r="P212">
        <v>7.43</v>
      </c>
      <c r="Q212">
        <v>0</v>
      </c>
      <c r="R212">
        <v>5</v>
      </c>
      <c r="S212">
        <v>9</v>
      </c>
      <c r="T212">
        <v>11.43</v>
      </c>
      <c r="U212">
        <v>3</v>
      </c>
      <c r="V212">
        <v>3.3E-4</v>
      </c>
      <c r="W212">
        <v>2021</v>
      </c>
      <c r="X212" t="s">
        <v>33</v>
      </c>
      <c r="Y212" t="s">
        <v>34</v>
      </c>
    </row>
    <row r="213" spans="1:25" x14ac:dyDescent="0.25">
      <c r="A213" t="s">
        <v>675</v>
      </c>
      <c r="B213" t="s">
        <v>676</v>
      </c>
      <c r="C213" t="s">
        <v>677</v>
      </c>
      <c r="D213" t="s">
        <v>95</v>
      </c>
      <c r="E213" t="s">
        <v>96</v>
      </c>
      <c r="F213" t="s">
        <v>32</v>
      </c>
      <c r="G213">
        <v>33.627001</v>
      </c>
      <c r="H213">
        <v>0.40252700000000002</v>
      </c>
      <c r="I213">
        <v>7</v>
      </c>
      <c r="J213">
        <v>333.29</v>
      </c>
      <c r="K213">
        <v>157</v>
      </c>
      <c r="L213">
        <v>44.43</v>
      </c>
      <c r="M213">
        <v>176.29</v>
      </c>
      <c r="N213">
        <v>20.57</v>
      </c>
      <c r="O213">
        <v>49.29</v>
      </c>
      <c r="P213">
        <v>7.86</v>
      </c>
      <c r="Q213">
        <v>1</v>
      </c>
      <c r="R213">
        <v>8.86</v>
      </c>
      <c r="S213">
        <v>19.14</v>
      </c>
      <c r="T213">
        <v>36.14</v>
      </c>
      <c r="U213">
        <v>14.14</v>
      </c>
      <c r="V213">
        <v>3.2200000000000002E-4</v>
      </c>
      <c r="W213">
        <v>2021</v>
      </c>
      <c r="X213" t="s">
        <v>33</v>
      </c>
      <c r="Y213" t="s">
        <v>34</v>
      </c>
    </row>
    <row r="214" spans="1:25" x14ac:dyDescent="0.25">
      <c r="A214" t="s">
        <v>678</v>
      </c>
      <c r="B214" t="s">
        <v>679</v>
      </c>
      <c r="C214" t="s">
        <v>680</v>
      </c>
      <c r="D214" t="s">
        <v>111</v>
      </c>
      <c r="E214" t="s">
        <v>112</v>
      </c>
      <c r="F214" t="s">
        <v>32</v>
      </c>
      <c r="G214">
        <v>31.299078000000002</v>
      </c>
      <c r="H214">
        <v>1.4296249999999999</v>
      </c>
      <c r="I214">
        <v>7</v>
      </c>
      <c r="J214">
        <v>273.43</v>
      </c>
      <c r="K214">
        <v>75.709999999999994</v>
      </c>
      <c r="L214">
        <v>10.57</v>
      </c>
      <c r="M214">
        <v>197.71</v>
      </c>
      <c r="N214">
        <v>14.14</v>
      </c>
      <c r="O214">
        <v>34.86</v>
      </c>
      <c r="P214">
        <v>0.86</v>
      </c>
      <c r="Q214">
        <v>0</v>
      </c>
      <c r="R214">
        <v>0.28999999999999998</v>
      </c>
      <c r="S214">
        <v>11.57</v>
      </c>
      <c r="T214">
        <v>14</v>
      </c>
      <c r="U214">
        <v>0</v>
      </c>
      <c r="V214">
        <v>2.6400000000000002E-4</v>
      </c>
      <c r="W214">
        <v>2021</v>
      </c>
      <c r="X214" t="s">
        <v>33</v>
      </c>
      <c r="Y214" t="s">
        <v>34</v>
      </c>
    </row>
    <row r="215" spans="1:25" x14ac:dyDescent="0.25">
      <c r="A215" t="s">
        <v>681</v>
      </c>
      <c r="B215" t="s">
        <v>682</v>
      </c>
      <c r="C215" t="s">
        <v>683</v>
      </c>
      <c r="D215" t="s">
        <v>231</v>
      </c>
      <c r="E215" t="s">
        <v>166</v>
      </c>
      <c r="F215" t="s">
        <v>32</v>
      </c>
      <c r="G215">
        <v>30.382213</v>
      </c>
      <c r="H215">
        <v>2.8417000000000001E-2</v>
      </c>
      <c r="I215">
        <v>7</v>
      </c>
      <c r="J215">
        <v>248.57</v>
      </c>
      <c r="K215">
        <v>47.29</v>
      </c>
      <c r="L215">
        <v>75</v>
      </c>
      <c r="M215">
        <v>201.29</v>
      </c>
      <c r="N215">
        <v>17.29</v>
      </c>
      <c r="O215">
        <v>19.14</v>
      </c>
      <c r="P215">
        <v>2.4300000000000002</v>
      </c>
      <c r="Q215">
        <v>0</v>
      </c>
      <c r="R215">
        <v>0</v>
      </c>
      <c r="S215">
        <v>4.8600000000000003</v>
      </c>
      <c r="T215">
        <v>3.57</v>
      </c>
      <c r="U215">
        <v>0</v>
      </c>
      <c r="V215">
        <v>2.4000000000000001E-4</v>
      </c>
      <c r="W215">
        <v>2021</v>
      </c>
      <c r="X215" t="s">
        <v>33</v>
      </c>
      <c r="Y215" t="s">
        <v>34</v>
      </c>
    </row>
    <row r="216" spans="1:25" x14ac:dyDescent="0.25">
      <c r="A216" t="s">
        <v>684</v>
      </c>
      <c r="B216" t="s">
        <v>685</v>
      </c>
      <c r="C216" t="s">
        <v>686</v>
      </c>
      <c r="D216" t="s">
        <v>336</v>
      </c>
      <c r="E216" t="s">
        <v>112</v>
      </c>
      <c r="F216" t="s">
        <v>32</v>
      </c>
      <c r="G216">
        <v>32.255721999999999</v>
      </c>
      <c r="H216">
        <v>2.0491410000000001</v>
      </c>
      <c r="I216">
        <v>7</v>
      </c>
      <c r="J216">
        <v>241.29</v>
      </c>
      <c r="K216">
        <v>45.86</v>
      </c>
      <c r="L216">
        <v>58.43</v>
      </c>
      <c r="M216">
        <v>195.43</v>
      </c>
      <c r="N216">
        <v>9.7100000000000009</v>
      </c>
      <c r="O216">
        <v>21.86</v>
      </c>
      <c r="P216">
        <v>1</v>
      </c>
      <c r="Q216">
        <v>0</v>
      </c>
      <c r="R216">
        <v>0</v>
      </c>
      <c r="S216">
        <v>8</v>
      </c>
      <c r="T216">
        <v>5</v>
      </c>
      <c r="U216">
        <v>0.28999999999999998</v>
      </c>
      <c r="V216">
        <v>2.33E-4</v>
      </c>
      <c r="W216">
        <v>2021</v>
      </c>
      <c r="X216" t="s">
        <v>33</v>
      </c>
      <c r="Y216" t="s">
        <v>34</v>
      </c>
    </row>
    <row r="217" spans="1:25" x14ac:dyDescent="0.25">
      <c r="A217" t="s">
        <v>687</v>
      </c>
      <c r="B217" t="s">
        <v>688</v>
      </c>
      <c r="C217" t="s">
        <v>689</v>
      </c>
      <c r="D217" t="s">
        <v>231</v>
      </c>
      <c r="E217" t="s">
        <v>166</v>
      </c>
      <c r="F217" t="s">
        <v>32</v>
      </c>
      <c r="G217">
        <v>31.041450000000001</v>
      </c>
      <c r="H217">
        <v>-0.30185499999999998</v>
      </c>
      <c r="I217">
        <v>7</v>
      </c>
      <c r="J217">
        <v>217.71</v>
      </c>
      <c r="K217">
        <v>48.29</v>
      </c>
      <c r="L217">
        <v>50.86</v>
      </c>
      <c r="M217">
        <v>169.43</v>
      </c>
      <c r="N217">
        <v>6.71</v>
      </c>
      <c r="O217">
        <v>24.86</v>
      </c>
      <c r="P217">
        <v>2.86</v>
      </c>
      <c r="Q217">
        <v>0</v>
      </c>
      <c r="R217">
        <v>0.28999999999999998</v>
      </c>
      <c r="S217">
        <v>7.86</v>
      </c>
      <c r="T217">
        <v>4.43</v>
      </c>
      <c r="U217">
        <v>1.29</v>
      </c>
      <c r="V217">
        <v>2.1100000000000001E-4</v>
      </c>
      <c r="W217">
        <v>2021</v>
      </c>
      <c r="X217" t="s">
        <v>33</v>
      </c>
      <c r="Y217" t="s">
        <v>34</v>
      </c>
    </row>
    <row r="218" spans="1:25" x14ac:dyDescent="0.25">
      <c r="A218" t="s">
        <v>690</v>
      </c>
      <c r="B218" t="s">
        <v>691</v>
      </c>
      <c r="C218" t="s">
        <v>692</v>
      </c>
      <c r="D218" t="s">
        <v>336</v>
      </c>
      <c r="E218" t="s">
        <v>112</v>
      </c>
      <c r="F218" t="s">
        <v>32</v>
      </c>
      <c r="G218">
        <v>31.723206999999999</v>
      </c>
      <c r="H218">
        <v>2.0202819999999999</v>
      </c>
      <c r="I218">
        <v>7</v>
      </c>
      <c r="J218">
        <v>202.29</v>
      </c>
      <c r="K218">
        <v>34.86</v>
      </c>
      <c r="L218">
        <v>96.71</v>
      </c>
      <c r="M218">
        <v>167.43</v>
      </c>
      <c r="N218">
        <v>5.14</v>
      </c>
      <c r="O218">
        <v>13.29</v>
      </c>
      <c r="P218">
        <v>0.28999999999999998</v>
      </c>
      <c r="Q218">
        <v>0</v>
      </c>
      <c r="R218">
        <v>0.71</v>
      </c>
      <c r="S218">
        <v>8.43</v>
      </c>
      <c r="T218">
        <v>6</v>
      </c>
      <c r="U218">
        <v>1</v>
      </c>
      <c r="V218">
        <v>1.9599999999999999E-4</v>
      </c>
      <c r="W218">
        <v>2021</v>
      </c>
      <c r="X218" t="s">
        <v>33</v>
      </c>
      <c r="Y218" t="s">
        <v>34</v>
      </c>
    </row>
    <row r="219" spans="1:25" x14ac:dyDescent="0.25">
      <c r="A219" t="s">
        <v>693</v>
      </c>
      <c r="B219" t="s">
        <v>694</v>
      </c>
      <c r="C219" t="s">
        <v>695</v>
      </c>
      <c r="D219" t="s">
        <v>336</v>
      </c>
      <c r="E219" t="s">
        <v>112</v>
      </c>
      <c r="F219" t="s">
        <v>32</v>
      </c>
      <c r="G219">
        <v>31.886099999999999</v>
      </c>
      <c r="H219">
        <v>1.7327999999999999</v>
      </c>
      <c r="I219">
        <v>7</v>
      </c>
      <c r="J219">
        <v>195.29</v>
      </c>
      <c r="K219">
        <v>92</v>
      </c>
      <c r="L219">
        <v>25.71</v>
      </c>
      <c r="M219">
        <v>103.29</v>
      </c>
      <c r="N219">
        <v>11.57</v>
      </c>
      <c r="O219">
        <v>38.43</v>
      </c>
      <c r="P219">
        <v>9.2899999999999991</v>
      </c>
      <c r="Q219">
        <v>0</v>
      </c>
      <c r="R219">
        <v>0</v>
      </c>
      <c r="S219">
        <v>10.43</v>
      </c>
      <c r="T219">
        <v>20.43</v>
      </c>
      <c r="U219">
        <v>1.86</v>
      </c>
      <c r="V219">
        <v>1.8900000000000001E-4</v>
      </c>
      <c r="W219">
        <v>2021</v>
      </c>
      <c r="X219" t="s">
        <v>33</v>
      </c>
      <c r="Y219" t="s">
        <v>34</v>
      </c>
    </row>
    <row r="220" spans="1:25" x14ac:dyDescent="0.25">
      <c r="A220" t="s">
        <v>696</v>
      </c>
      <c r="B220" t="s">
        <v>697</v>
      </c>
      <c r="C220" t="s">
        <v>698</v>
      </c>
      <c r="D220" t="s">
        <v>278</v>
      </c>
      <c r="E220" t="s">
        <v>112</v>
      </c>
      <c r="F220" t="s">
        <v>32</v>
      </c>
      <c r="G220">
        <v>30.574781999999999</v>
      </c>
      <c r="H220">
        <v>0.75961999999999996</v>
      </c>
      <c r="I220">
        <v>7</v>
      </c>
      <c r="J220">
        <v>156</v>
      </c>
      <c r="K220">
        <v>12.57</v>
      </c>
      <c r="L220">
        <v>34.29</v>
      </c>
      <c r="M220">
        <v>143.43</v>
      </c>
      <c r="N220">
        <v>0</v>
      </c>
      <c r="O220">
        <v>7</v>
      </c>
      <c r="P220">
        <v>0</v>
      </c>
      <c r="Q220">
        <v>0</v>
      </c>
      <c r="R220">
        <v>0.71</v>
      </c>
      <c r="S220">
        <v>1.57</v>
      </c>
      <c r="T220">
        <v>3.29</v>
      </c>
      <c r="U220">
        <v>0</v>
      </c>
      <c r="V220">
        <v>1.5100000000000001E-4</v>
      </c>
      <c r="W220">
        <v>2021</v>
      </c>
      <c r="X220" t="s">
        <v>33</v>
      </c>
      <c r="Y220" t="s">
        <v>34</v>
      </c>
    </row>
    <row r="221" spans="1:25" x14ac:dyDescent="0.25">
      <c r="A221" t="s">
        <v>699</v>
      </c>
      <c r="B221" t="s">
        <v>700</v>
      </c>
      <c r="C221" t="s">
        <v>701</v>
      </c>
      <c r="D221" t="s">
        <v>95</v>
      </c>
      <c r="E221" t="s">
        <v>96</v>
      </c>
      <c r="F221" t="s">
        <v>32</v>
      </c>
      <c r="G221">
        <v>33.153908999999999</v>
      </c>
      <c r="H221">
        <v>0.98416999999999999</v>
      </c>
      <c r="I221">
        <v>7</v>
      </c>
      <c r="J221">
        <v>129.13999999999999</v>
      </c>
      <c r="K221">
        <v>70.569999999999993</v>
      </c>
      <c r="L221">
        <v>0.71</v>
      </c>
      <c r="M221">
        <v>58.57</v>
      </c>
      <c r="N221">
        <v>11.43</v>
      </c>
      <c r="O221">
        <v>36.14</v>
      </c>
      <c r="P221">
        <v>0.71</v>
      </c>
      <c r="Q221">
        <v>0</v>
      </c>
      <c r="R221">
        <v>0.71</v>
      </c>
      <c r="S221">
        <v>10.14</v>
      </c>
      <c r="T221">
        <v>10</v>
      </c>
      <c r="U221">
        <v>1.43</v>
      </c>
      <c r="V221">
        <v>1.25E-4</v>
      </c>
      <c r="W221">
        <v>2021</v>
      </c>
      <c r="X221" t="s">
        <v>33</v>
      </c>
      <c r="Y221" t="s">
        <v>34</v>
      </c>
    </row>
    <row r="222" spans="1:25" x14ac:dyDescent="0.25">
      <c r="A222" t="s">
        <v>702</v>
      </c>
      <c r="B222" t="s">
        <v>703</v>
      </c>
      <c r="C222" t="s">
        <v>704</v>
      </c>
      <c r="D222" t="s">
        <v>111</v>
      </c>
      <c r="E222" t="s">
        <v>112</v>
      </c>
      <c r="F222" t="s">
        <v>32</v>
      </c>
      <c r="G222">
        <v>31.980519999999999</v>
      </c>
      <c r="H222">
        <v>0.96306599999999998</v>
      </c>
      <c r="I222">
        <v>7</v>
      </c>
      <c r="J222">
        <v>63.57</v>
      </c>
      <c r="K222">
        <v>13.14</v>
      </c>
      <c r="L222">
        <v>11.29</v>
      </c>
      <c r="M222">
        <v>50.43</v>
      </c>
      <c r="N222">
        <v>0</v>
      </c>
      <c r="O222">
        <v>12.14</v>
      </c>
      <c r="P222">
        <v>0</v>
      </c>
      <c r="Q222">
        <v>0</v>
      </c>
      <c r="R222">
        <v>0</v>
      </c>
      <c r="S222">
        <v>0</v>
      </c>
      <c r="T222">
        <v>1</v>
      </c>
      <c r="U222">
        <v>0</v>
      </c>
      <c r="V222">
        <v>6.0999999999999999E-5</v>
      </c>
      <c r="W222">
        <v>2021</v>
      </c>
      <c r="X222" t="s">
        <v>33</v>
      </c>
      <c r="Y222" t="s">
        <v>34</v>
      </c>
    </row>
    <row r="223" spans="1:25" x14ac:dyDescent="0.25">
      <c r="A223" t="s">
        <v>705</v>
      </c>
      <c r="B223" t="s">
        <v>706</v>
      </c>
      <c r="C223" t="s">
        <v>707</v>
      </c>
      <c r="D223" t="s">
        <v>111</v>
      </c>
      <c r="E223" t="s">
        <v>112</v>
      </c>
      <c r="F223" t="s">
        <v>32</v>
      </c>
      <c r="G223">
        <v>31.669181999999999</v>
      </c>
      <c r="H223">
        <v>0.94795499999999999</v>
      </c>
      <c r="I223">
        <v>7</v>
      </c>
      <c r="J223">
        <v>58</v>
      </c>
      <c r="K223">
        <v>23</v>
      </c>
      <c r="L223">
        <v>10.43</v>
      </c>
      <c r="M223">
        <v>35</v>
      </c>
      <c r="N223">
        <v>3.43</v>
      </c>
      <c r="O223">
        <v>17.57</v>
      </c>
      <c r="P223">
        <v>0</v>
      </c>
      <c r="Q223">
        <v>0</v>
      </c>
      <c r="R223">
        <v>0</v>
      </c>
      <c r="S223">
        <v>1.71</v>
      </c>
      <c r="T223">
        <v>0.28999999999999998</v>
      </c>
      <c r="U223">
        <v>0</v>
      </c>
      <c r="V223">
        <v>5.5999999999999999E-5</v>
      </c>
      <c r="W223">
        <v>2021</v>
      </c>
      <c r="X223" t="s">
        <v>33</v>
      </c>
      <c r="Y223" t="s">
        <v>34</v>
      </c>
    </row>
    <row r="224" spans="1:25" x14ac:dyDescent="0.25">
      <c r="A224" t="s">
        <v>708</v>
      </c>
      <c r="B224" t="s">
        <v>709</v>
      </c>
      <c r="C224" t="s">
        <v>710</v>
      </c>
      <c r="D224" t="s">
        <v>278</v>
      </c>
      <c r="E224" t="s">
        <v>112</v>
      </c>
      <c r="F224" t="s">
        <v>32</v>
      </c>
      <c r="G224">
        <v>30.83914</v>
      </c>
      <c r="H224">
        <v>0.55665399999999998</v>
      </c>
      <c r="I224">
        <v>7</v>
      </c>
      <c r="J224">
        <v>34.29</v>
      </c>
      <c r="K224">
        <v>8.2899999999999991</v>
      </c>
      <c r="L224">
        <v>5</v>
      </c>
      <c r="M224">
        <v>26</v>
      </c>
      <c r="N224">
        <v>0.28999999999999998</v>
      </c>
      <c r="O224">
        <v>8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3.3000000000000003E-5</v>
      </c>
      <c r="W224">
        <v>2021</v>
      </c>
      <c r="X224" t="s">
        <v>33</v>
      </c>
      <c r="Y224" t="s">
        <v>34</v>
      </c>
    </row>
    <row r="225" spans="1:25" x14ac:dyDescent="0.25">
      <c r="A225" t="s">
        <v>711</v>
      </c>
      <c r="B225" t="s">
        <v>712</v>
      </c>
      <c r="C225" t="s">
        <v>713</v>
      </c>
      <c r="D225" t="s">
        <v>278</v>
      </c>
      <c r="E225" t="s">
        <v>112</v>
      </c>
      <c r="F225" t="s">
        <v>32</v>
      </c>
      <c r="G225">
        <v>30.392845000000001</v>
      </c>
      <c r="H225">
        <v>0.64292400000000005</v>
      </c>
      <c r="I225">
        <v>8</v>
      </c>
      <c r="J225">
        <v>20.29</v>
      </c>
      <c r="K225">
        <v>5</v>
      </c>
      <c r="L225">
        <v>16.86</v>
      </c>
      <c r="M225">
        <v>15.29</v>
      </c>
      <c r="N225">
        <v>0.56999999999999995</v>
      </c>
      <c r="O225">
        <v>4.43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2.0000000000000002E-5</v>
      </c>
      <c r="W225">
        <v>2021</v>
      </c>
      <c r="X225" t="s">
        <v>33</v>
      </c>
      <c r="Y225" t="s">
        <v>34</v>
      </c>
    </row>
  </sheetData>
  <mergeCells count="2">
    <mergeCell ref="A1:Y1"/>
    <mergeCell ref="A2:Y2"/>
  </mergeCells>
  <conditionalFormatting sqref="F4:F225">
    <cfRule type="containsText" dxfId="9" priority="14" operator="containsText" text="Paved">
      <formula>NOT(ISERROR(SEARCH("Paved",F4)))</formula>
    </cfRule>
    <cfRule type="containsText" dxfId="8" priority="15" operator="containsText" text="Unpaved">
      <formula>NOT(ISERROR(SEARCH("Unpaved",F4)))</formula>
    </cfRule>
  </conditionalFormatting>
  <conditionalFormatting sqref="J4:J225">
    <cfRule type="dataBar" priority="1">
      <dataBar>
        <cfvo type="min"/>
        <cfvo type="max"/>
        <color rgb="FF5B9BD5"/>
      </dataBar>
    </cfRule>
  </conditionalFormatting>
  <conditionalFormatting sqref="K4:K225">
    <cfRule type="dataBar" priority="2">
      <dataBar>
        <cfvo type="min"/>
        <cfvo type="max"/>
        <color rgb="FF5B9BD5"/>
      </dataBar>
    </cfRule>
  </conditionalFormatting>
  <conditionalFormatting sqref="L4:L225">
    <cfRule type="dataBar" priority="3">
      <dataBar>
        <cfvo type="min"/>
        <cfvo type="max"/>
        <color rgb="FF5B9BD5"/>
      </dataBar>
    </cfRule>
  </conditionalFormatting>
  <conditionalFormatting sqref="M4:M225">
    <cfRule type="dataBar" priority="4">
      <dataBar>
        <cfvo type="min"/>
        <cfvo type="max"/>
        <color rgb="FF5B9BD5"/>
      </dataBar>
    </cfRule>
  </conditionalFormatting>
  <conditionalFormatting sqref="N4:N225">
    <cfRule type="dataBar" priority="5">
      <dataBar>
        <cfvo type="min"/>
        <cfvo type="max"/>
        <color rgb="FF5B9BD5"/>
      </dataBar>
    </cfRule>
  </conditionalFormatting>
  <conditionalFormatting sqref="O4:O225">
    <cfRule type="dataBar" priority="6">
      <dataBar>
        <cfvo type="min"/>
        <cfvo type="max"/>
        <color rgb="FF5B9BD5"/>
      </dataBar>
    </cfRule>
  </conditionalFormatting>
  <conditionalFormatting sqref="P4:P225">
    <cfRule type="dataBar" priority="7">
      <dataBar>
        <cfvo type="min"/>
        <cfvo type="max"/>
        <color rgb="FF5B9BD5"/>
      </dataBar>
    </cfRule>
  </conditionalFormatting>
  <conditionalFormatting sqref="Q4:Q225">
    <cfRule type="dataBar" priority="8">
      <dataBar>
        <cfvo type="min"/>
        <cfvo type="max"/>
        <color rgb="FF5B9BD5"/>
      </dataBar>
    </cfRule>
  </conditionalFormatting>
  <conditionalFormatting sqref="R4:R225">
    <cfRule type="dataBar" priority="9">
      <dataBar>
        <cfvo type="min"/>
        <cfvo type="max"/>
        <color rgb="FF5B9BD5"/>
      </dataBar>
    </cfRule>
  </conditionalFormatting>
  <conditionalFormatting sqref="S4:S225">
    <cfRule type="dataBar" priority="10">
      <dataBar>
        <cfvo type="min"/>
        <cfvo type="max"/>
        <color rgb="FF5B9BD5"/>
      </dataBar>
    </cfRule>
  </conditionalFormatting>
  <conditionalFormatting sqref="T4:T225">
    <cfRule type="dataBar" priority="11">
      <dataBar>
        <cfvo type="min"/>
        <cfvo type="max"/>
        <color rgb="FF5B9BD5"/>
      </dataBar>
    </cfRule>
  </conditionalFormatting>
  <conditionalFormatting sqref="U4:U225">
    <cfRule type="dataBar" priority="12">
      <dataBar>
        <cfvo type="min"/>
        <cfvo type="max"/>
        <color rgb="FF5B9BD5"/>
      </dataBar>
    </cfRule>
  </conditionalFormatting>
  <conditionalFormatting sqref="V4:V225">
    <cfRule type="dataBar" priority="13">
      <dataBar>
        <cfvo type="min"/>
        <cfvo type="max"/>
        <color rgb="FF5B9BD5"/>
      </dataBar>
    </cfRule>
  </conditionalFormatting>
  <conditionalFormatting sqref="Y4:Y225">
    <cfRule type="containsText" dxfId="7" priority="16" operator="containsText" text="Observed">
      <formula>NOT(ISERROR(SEARCH("Observed",Y4)))</formula>
    </cfRule>
  </conditionalFormatting>
  <printOptions horizontalCentered="1"/>
  <pageMargins left="0.25" right="0.25" top="0.4" bottom="0.4" header="0.3" footer="0.3"/>
  <pageSetup scale="24" fitToHeight="0" orientation="landscape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M7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RowHeight="15" x14ac:dyDescent="0.25"/>
  <cols>
    <col min="1" max="2" width="12.7109375" customWidth="1"/>
    <col min="3" max="3" width="16.7109375" customWidth="1"/>
    <col min="4" max="4" width="12.7109375" customWidth="1"/>
    <col min="5" max="5" width="18.7109375" customWidth="1"/>
    <col min="6" max="6" width="16.7109375" customWidth="1"/>
    <col min="7" max="7" width="19.7109375" customWidth="1"/>
    <col min="8" max="8" width="18.7109375" customWidth="1"/>
    <col min="9" max="9" width="16.7109375" customWidth="1"/>
    <col min="10" max="11" width="17.7109375" customWidth="1"/>
    <col min="12" max="12" width="15.7109375" customWidth="1"/>
    <col min="13" max="13" width="17.7109375" customWidth="1"/>
  </cols>
  <sheetData>
    <row r="1" spans="1:13" ht="24" customHeight="1" x14ac:dyDescent="0.25">
      <c r="A1" s="3" t="s">
        <v>714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 spans="1:13" ht="33.950000000000003" customHeight="1" x14ac:dyDescent="0.25">
      <c r="A2" s="4" t="s">
        <v>715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</row>
    <row r="3" spans="1:13" x14ac:dyDescent="0.25">
      <c r="A3" t="s">
        <v>716</v>
      </c>
      <c r="B3" t="s">
        <v>717</v>
      </c>
      <c r="C3" t="s">
        <v>718</v>
      </c>
      <c r="D3" t="s">
        <v>719</v>
      </c>
      <c r="E3" t="s">
        <v>720</v>
      </c>
      <c r="F3" t="s">
        <v>721</v>
      </c>
      <c r="G3" t="s">
        <v>722</v>
      </c>
      <c r="H3" t="s">
        <v>723</v>
      </c>
      <c r="I3" t="s">
        <v>724</v>
      </c>
      <c r="J3" t="s">
        <v>725</v>
      </c>
      <c r="K3" t="s">
        <v>726</v>
      </c>
      <c r="L3" t="s">
        <v>727</v>
      </c>
      <c r="M3" t="s">
        <v>26</v>
      </c>
    </row>
    <row r="4" spans="1:13" x14ac:dyDescent="0.25">
      <c r="A4">
        <v>2021</v>
      </c>
      <c r="B4" t="s">
        <v>728</v>
      </c>
      <c r="C4" t="s">
        <v>729</v>
      </c>
      <c r="D4" t="s">
        <v>730</v>
      </c>
      <c r="E4">
        <v>222</v>
      </c>
      <c r="F4">
        <v>222</v>
      </c>
      <c r="G4">
        <v>4657.01</v>
      </c>
      <c r="H4">
        <v>1710.22</v>
      </c>
      <c r="I4">
        <v>103899.86</v>
      </c>
      <c r="J4">
        <v>6</v>
      </c>
      <c r="K4" t="s">
        <v>731</v>
      </c>
      <c r="L4" t="s">
        <v>732</v>
      </c>
      <c r="M4" t="s">
        <v>733</v>
      </c>
    </row>
    <row r="5" spans="1:13" x14ac:dyDescent="0.25">
      <c r="A5">
        <v>2022</v>
      </c>
      <c r="B5" t="s">
        <v>734</v>
      </c>
      <c r="C5" t="s">
        <v>735</v>
      </c>
      <c r="D5" t="s">
        <v>736</v>
      </c>
      <c r="E5">
        <v>191</v>
      </c>
      <c r="F5">
        <v>191</v>
      </c>
      <c r="G5">
        <v>2546.86</v>
      </c>
      <c r="H5">
        <v>1254</v>
      </c>
      <c r="I5">
        <v>38486.29</v>
      </c>
      <c r="J5">
        <v>6</v>
      </c>
      <c r="K5" t="s">
        <v>737</v>
      </c>
      <c r="L5" t="s">
        <v>738</v>
      </c>
      <c r="M5" t="s">
        <v>733</v>
      </c>
    </row>
    <row r="6" spans="1:13" x14ac:dyDescent="0.25">
      <c r="A6">
        <v>2023</v>
      </c>
      <c r="B6" t="s">
        <v>739</v>
      </c>
      <c r="C6" t="s">
        <v>740</v>
      </c>
      <c r="D6" t="s">
        <v>741</v>
      </c>
      <c r="E6">
        <v>196</v>
      </c>
      <c r="F6">
        <v>196</v>
      </c>
      <c r="G6">
        <v>1992.1</v>
      </c>
      <c r="H6">
        <v>1129.57</v>
      </c>
      <c r="I6">
        <v>36270.86</v>
      </c>
      <c r="J6">
        <v>5</v>
      </c>
      <c r="K6" t="s">
        <v>742</v>
      </c>
      <c r="L6" t="s">
        <v>743</v>
      </c>
      <c r="M6" t="s">
        <v>733</v>
      </c>
    </row>
    <row r="7" spans="1:13" x14ac:dyDescent="0.25">
      <c r="A7">
        <v>2024</v>
      </c>
      <c r="B7" t="s">
        <v>744</v>
      </c>
      <c r="C7" t="s">
        <v>745</v>
      </c>
      <c r="D7" t="s">
        <v>746</v>
      </c>
      <c r="E7">
        <v>241</v>
      </c>
      <c r="F7">
        <v>241</v>
      </c>
      <c r="G7">
        <v>4358.66</v>
      </c>
      <c r="H7">
        <v>1658.43</v>
      </c>
      <c r="I7">
        <v>103899.86</v>
      </c>
      <c r="J7">
        <v>6</v>
      </c>
      <c r="K7" t="s">
        <v>747</v>
      </c>
      <c r="L7" t="s">
        <v>748</v>
      </c>
      <c r="M7" t="s">
        <v>733</v>
      </c>
    </row>
  </sheetData>
  <mergeCells count="2">
    <mergeCell ref="A1:M1"/>
    <mergeCell ref="A2:M2"/>
  </mergeCells>
  <conditionalFormatting sqref="E4:E7">
    <cfRule type="dataBar" priority="1">
      <dataBar>
        <cfvo type="min"/>
        <cfvo type="max"/>
        <color rgb="FF5B9BD5"/>
      </dataBar>
    </cfRule>
  </conditionalFormatting>
  <conditionalFormatting sqref="F4:F7">
    <cfRule type="dataBar" priority="2">
      <dataBar>
        <cfvo type="min"/>
        <cfvo type="max"/>
        <color rgb="FF5B9BD5"/>
      </dataBar>
    </cfRule>
  </conditionalFormatting>
  <conditionalFormatting sqref="G4:G7">
    <cfRule type="dataBar" priority="3">
      <dataBar>
        <cfvo type="min"/>
        <cfvo type="max"/>
        <color rgb="FF5B9BD5"/>
      </dataBar>
    </cfRule>
  </conditionalFormatting>
  <conditionalFormatting sqref="H4:H7">
    <cfRule type="dataBar" priority="4">
      <dataBar>
        <cfvo type="min"/>
        <cfvo type="max"/>
        <color rgb="FF5B9BD5"/>
      </dataBar>
    </cfRule>
  </conditionalFormatting>
  <conditionalFormatting sqref="I4:I7">
    <cfRule type="dataBar" priority="5">
      <dataBar>
        <cfvo type="min"/>
        <cfvo type="max"/>
        <color rgb="FF5B9BD5"/>
      </dataBar>
    </cfRule>
  </conditionalFormatting>
  <conditionalFormatting sqref="J4:J7">
    <cfRule type="dataBar" priority="6">
      <dataBar>
        <cfvo type="min"/>
        <cfvo type="max"/>
        <color rgb="FF5B9BD5"/>
      </dataBar>
    </cfRule>
  </conditionalFormatting>
  <conditionalFormatting sqref="K4:K7">
    <cfRule type="dataBar" priority="7">
      <dataBar>
        <cfvo type="min"/>
        <cfvo type="max"/>
        <color rgb="FF5B9BD5"/>
      </dataBar>
    </cfRule>
  </conditionalFormatting>
  <printOptions horizontalCentered="1"/>
  <pageMargins left="0.25" right="0.25" top="0.4" bottom="0.4" header="0.3" footer="0.3"/>
  <pageSetup scale="62" fitToHeight="0" orientation="landscape" r:id="rId1"/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I27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RowHeight="15" x14ac:dyDescent="0.25"/>
  <cols>
    <col min="1" max="1" width="13.7109375" customWidth="1"/>
    <col min="2" max="2" width="12.7109375" customWidth="1"/>
    <col min="3" max="3" width="15.7109375" customWidth="1"/>
    <col min="4" max="4" width="16.7109375" customWidth="1"/>
    <col min="5" max="5" width="12.7109375" customWidth="1"/>
    <col min="6" max="6" width="13.7109375" customWidth="1"/>
    <col min="7" max="7" width="14.7109375" customWidth="1"/>
    <col min="8" max="9" width="28.7109375" customWidth="1"/>
  </cols>
  <sheetData>
    <row r="1" spans="1:9" ht="24" customHeight="1" x14ac:dyDescent="0.25">
      <c r="A1" s="3" t="s">
        <v>749</v>
      </c>
      <c r="B1" s="3"/>
      <c r="C1" s="3"/>
      <c r="D1" s="3"/>
      <c r="E1" s="3"/>
      <c r="F1" s="3"/>
      <c r="G1" s="3"/>
      <c r="H1" s="3"/>
      <c r="I1" s="3"/>
    </row>
    <row r="2" spans="1:9" ht="33.950000000000003" customHeight="1" x14ac:dyDescent="0.25">
      <c r="A2" s="4" t="s">
        <v>750</v>
      </c>
      <c r="B2" s="4"/>
      <c r="C2" s="4"/>
      <c r="D2" s="4"/>
      <c r="E2" s="4"/>
      <c r="F2" s="4"/>
      <c r="G2" s="4"/>
      <c r="H2" s="4"/>
      <c r="I2" s="4"/>
    </row>
    <row r="3" spans="1:9" x14ac:dyDescent="0.25">
      <c r="A3" t="s">
        <v>24</v>
      </c>
      <c r="B3" t="s">
        <v>751</v>
      </c>
      <c r="C3" t="s">
        <v>25</v>
      </c>
      <c r="D3" t="s">
        <v>752</v>
      </c>
      <c r="E3" t="s">
        <v>753</v>
      </c>
      <c r="F3" t="s">
        <v>754</v>
      </c>
      <c r="G3" t="s">
        <v>755</v>
      </c>
      <c r="H3" t="s">
        <v>756</v>
      </c>
      <c r="I3" t="s">
        <v>26</v>
      </c>
    </row>
    <row r="4" spans="1:9" x14ac:dyDescent="0.25">
      <c r="A4">
        <v>2021</v>
      </c>
      <c r="B4" t="s">
        <v>757</v>
      </c>
      <c r="C4" t="s">
        <v>758</v>
      </c>
      <c r="D4">
        <v>101</v>
      </c>
      <c r="E4">
        <v>749</v>
      </c>
      <c r="F4">
        <v>21</v>
      </c>
      <c r="G4">
        <v>835915</v>
      </c>
      <c r="H4">
        <v>1116.04</v>
      </c>
      <c r="I4" t="s">
        <v>759</v>
      </c>
    </row>
    <row r="5" spans="1:9" x14ac:dyDescent="0.25">
      <c r="A5">
        <v>2021</v>
      </c>
      <c r="B5" t="s">
        <v>760</v>
      </c>
      <c r="C5" t="s">
        <v>758</v>
      </c>
      <c r="D5">
        <v>72</v>
      </c>
      <c r="E5">
        <v>544</v>
      </c>
      <c r="F5">
        <v>25</v>
      </c>
      <c r="G5">
        <v>2341872</v>
      </c>
      <c r="H5">
        <v>4304.91</v>
      </c>
      <c r="I5" t="s">
        <v>759</v>
      </c>
    </row>
    <row r="6" spans="1:9" x14ac:dyDescent="0.25">
      <c r="A6">
        <v>2021</v>
      </c>
      <c r="B6" t="s">
        <v>761</v>
      </c>
      <c r="C6" t="s">
        <v>758</v>
      </c>
      <c r="D6">
        <v>34</v>
      </c>
      <c r="E6">
        <v>141</v>
      </c>
      <c r="F6">
        <v>16</v>
      </c>
      <c r="G6">
        <v>206812</v>
      </c>
      <c r="H6">
        <v>1466.75</v>
      </c>
      <c r="I6" t="s">
        <v>759</v>
      </c>
    </row>
    <row r="7" spans="1:9" x14ac:dyDescent="0.25">
      <c r="A7">
        <v>2021</v>
      </c>
      <c r="B7" t="s">
        <v>762</v>
      </c>
      <c r="C7" t="s">
        <v>758</v>
      </c>
      <c r="D7">
        <v>15</v>
      </c>
      <c r="E7">
        <v>126</v>
      </c>
      <c r="F7">
        <v>10</v>
      </c>
      <c r="G7">
        <v>25157.49</v>
      </c>
      <c r="H7">
        <v>199.66</v>
      </c>
      <c r="I7" t="s">
        <v>759</v>
      </c>
    </row>
    <row r="8" spans="1:9" x14ac:dyDescent="0.25">
      <c r="A8">
        <v>2021</v>
      </c>
      <c r="B8" t="s">
        <v>763</v>
      </c>
      <c r="C8" t="s">
        <v>764</v>
      </c>
      <c r="D8">
        <v>9</v>
      </c>
      <c r="E8">
        <v>64</v>
      </c>
      <c r="F8">
        <v>9</v>
      </c>
      <c r="G8">
        <v>287737</v>
      </c>
      <c r="H8">
        <v>4495.8900000000003</v>
      </c>
      <c r="I8" t="s">
        <v>759</v>
      </c>
    </row>
    <row r="9" spans="1:9" x14ac:dyDescent="0.25">
      <c r="A9">
        <v>2021</v>
      </c>
      <c r="B9" t="s">
        <v>765</v>
      </c>
      <c r="C9" t="s">
        <v>764</v>
      </c>
      <c r="D9">
        <v>3</v>
      </c>
      <c r="E9">
        <v>9</v>
      </c>
      <c r="F9">
        <v>8</v>
      </c>
      <c r="G9">
        <v>52764</v>
      </c>
      <c r="H9">
        <v>5862.67</v>
      </c>
      <c r="I9" t="s">
        <v>759</v>
      </c>
    </row>
    <row r="10" spans="1:9" x14ac:dyDescent="0.25">
      <c r="A10">
        <v>2022</v>
      </c>
      <c r="B10" t="s">
        <v>766</v>
      </c>
      <c r="C10" t="s">
        <v>764</v>
      </c>
      <c r="D10">
        <v>49</v>
      </c>
      <c r="E10">
        <v>145</v>
      </c>
      <c r="F10">
        <v>3</v>
      </c>
      <c r="G10">
        <v>193090</v>
      </c>
      <c r="H10">
        <v>1331.66</v>
      </c>
      <c r="I10" t="s">
        <v>759</v>
      </c>
    </row>
    <row r="11" spans="1:9" x14ac:dyDescent="0.25">
      <c r="A11">
        <v>2022</v>
      </c>
      <c r="B11" t="s">
        <v>767</v>
      </c>
      <c r="C11" t="s">
        <v>764</v>
      </c>
      <c r="D11">
        <v>109</v>
      </c>
      <c r="E11">
        <v>609</v>
      </c>
      <c r="F11">
        <v>22</v>
      </c>
      <c r="G11">
        <v>737411</v>
      </c>
      <c r="H11">
        <v>1210.8599999999999</v>
      </c>
      <c r="I11" t="s">
        <v>759</v>
      </c>
    </row>
    <row r="12" spans="1:9" x14ac:dyDescent="0.25">
      <c r="A12">
        <v>2022</v>
      </c>
      <c r="B12" t="s">
        <v>768</v>
      </c>
      <c r="C12" t="s">
        <v>764</v>
      </c>
      <c r="D12">
        <v>43</v>
      </c>
      <c r="E12">
        <v>269</v>
      </c>
      <c r="F12">
        <v>30</v>
      </c>
      <c r="G12">
        <v>725092</v>
      </c>
      <c r="H12">
        <v>2695.51</v>
      </c>
      <c r="I12" t="s">
        <v>759</v>
      </c>
    </row>
    <row r="13" spans="1:9" x14ac:dyDescent="0.25">
      <c r="A13">
        <v>2022</v>
      </c>
      <c r="B13" t="s">
        <v>769</v>
      </c>
      <c r="C13" t="s">
        <v>764</v>
      </c>
      <c r="D13">
        <v>4</v>
      </c>
      <c r="E13">
        <v>28</v>
      </c>
      <c r="F13">
        <v>7</v>
      </c>
      <c r="G13">
        <v>98037</v>
      </c>
      <c r="H13">
        <v>3501.32</v>
      </c>
      <c r="I13" t="s">
        <v>759</v>
      </c>
    </row>
    <row r="14" spans="1:9" x14ac:dyDescent="0.25">
      <c r="A14">
        <v>2022</v>
      </c>
      <c r="B14" t="s">
        <v>770</v>
      </c>
      <c r="C14" t="s">
        <v>764</v>
      </c>
      <c r="D14">
        <v>32</v>
      </c>
      <c r="E14">
        <v>200</v>
      </c>
      <c r="F14">
        <v>27</v>
      </c>
      <c r="G14">
        <v>970531</v>
      </c>
      <c r="H14">
        <v>4852.6499999999996</v>
      </c>
      <c r="I14" t="s">
        <v>759</v>
      </c>
    </row>
    <row r="15" spans="1:9" x14ac:dyDescent="0.25">
      <c r="A15">
        <v>2022</v>
      </c>
      <c r="B15" t="s">
        <v>771</v>
      </c>
      <c r="C15" t="s">
        <v>764</v>
      </c>
      <c r="D15">
        <v>20</v>
      </c>
      <c r="E15">
        <v>98</v>
      </c>
      <c r="F15">
        <v>24</v>
      </c>
      <c r="G15">
        <v>323021</v>
      </c>
      <c r="H15">
        <v>3296.13</v>
      </c>
      <c r="I15" t="s">
        <v>759</v>
      </c>
    </row>
    <row r="16" spans="1:9" x14ac:dyDescent="0.25">
      <c r="A16">
        <v>2023</v>
      </c>
      <c r="B16" t="s">
        <v>772</v>
      </c>
      <c r="C16" t="s">
        <v>773</v>
      </c>
      <c r="D16">
        <v>1</v>
      </c>
      <c r="E16">
        <v>1</v>
      </c>
      <c r="F16">
        <v>1</v>
      </c>
      <c r="G16">
        <v>1206</v>
      </c>
      <c r="H16">
        <v>1206</v>
      </c>
      <c r="I16" t="s">
        <v>759</v>
      </c>
    </row>
    <row r="17" spans="1:9" x14ac:dyDescent="0.25">
      <c r="A17">
        <v>2023</v>
      </c>
      <c r="B17" t="s">
        <v>774</v>
      </c>
      <c r="C17" t="s">
        <v>773</v>
      </c>
      <c r="D17">
        <v>83</v>
      </c>
      <c r="E17">
        <v>583</v>
      </c>
      <c r="F17">
        <v>27</v>
      </c>
      <c r="G17">
        <v>863798.1</v>
      </c>
      <c r="H17">
        <v>1481.64</v>
      </c>
      <c r="I17" t="s">
        <v>759</v>
      </c>
    </row>
    <row r="18" spans="1:9" x14ac:dyDescent="0.25">
      <c r="A18">
        <v>2023</v>
      </c>
      <c r="B18" t="s">
        <v>775</v>
      </c>
      <c r="C18" t="s">
        <v>773</v>
      </c>
      <c r="D18">
        <v>17</v>
      </c>
      <c r="E18">
        <v>106</v>
      </c>
      <c r="F18">
        <v>14</v>
      </c>
      <c r="G18">
        <v>529570</v>
      </c>
      <c r="H18">
        <v>4995.9399999999996</v>
      </c>
      <c r="I18" t="s">
        <v>759</v>
      </c>
    </row>
    <row r="19" spans="1:9" x14ac:dyDescent="0.25">
      <c r="A19">
        <v>2023</v>
      </c>
      <c r="B19" t="s">
        <v>776</v>
      </c>
      <c r="C19" t="s">
        <v>773</v>
      </c>
      <c r="D19">
        <v>73</v>
      </c>
      <c r="E19">
        <v>500</v>
      </c>
      <c r="F19">
        <v>31</v>
      </c>
      <c r="G19">
        <v>884797</v>
      </c>
      <c r="H19">
        <v>1769.59</v>
      </c>
      <c r="I19" t="s">
        <v>759</v>
      </c>
    </row>
    <row r="20" spans="1:9" x14ac:dyDescent="0.25">
      <c r="A20">
        <v>2023</v>
      </c>
      <c r="B20" t="s">
        <v>777</v>
      </c>
      <c r="C20" t="s">
        <v>773</v>
      </c>
      <c r="D20">
        <v>22</v>
      </c>
      <c r="E20">
        <v>132</v>
      </c>
      <c r="F20">
        <v>30</v>
      </c>
      <c r="G20">
        <v>201877</v>
      </c>
      <c r="H20">
        <v>1529.37</v>
      </c>
      <c r="I20" t="s">
        <v>759</v>
      </c>
    </row>
    <row r="21" spans="1:9" x14ac:dyDescent="0.25">
      <c r="A21">
        <v>2023</v>
      </c>
      <c r="B21" t="s">
        <v>778</v>
      </c>
      <c r="C21" t="s">
        <v>779</v>
      </c>
      <c r="D21">
        <v>16</v>
      </c>
      <c r="E21">
        <v>78</v>
      </c>
      <c r="F21">
        <v>18</v>
      </c>
      <c r="G21">
        <v>25018</v>
      </c>
      <c r="H21">
        <v>320.74</v>
      </c>
      <c r="I21" t="s">
        <v>759</v>
      </c>
    </row>
    <row r="22" spans="1:9" x14ac:dyDescent="0.25">
      <c r="A22">
        <v>2023</v>
      </c>
      <c r="B22" t="s">
        <v>780</v>
      </c>
      <c r="C22" t="s">
        <v>779</v>
      </c>
      <c r="D22">
        <v>1</v>
      </c>
      <c r="E22">
        <v>1</v>
      </c>
      <c r="F22">
        <v>1</v>
      </c>
      <c r="G22">
        <v>3633</v>
      </c>
      <c r="H22">
        <v>3633</v>
      </c>
      <c r="I22" t="s">
        <v>759</v>
      </c>
    </row>
    <row r="23" spans="1:9" x14ac:dyDescent="0.25">
      <c r="A23">
        <v>2024</v>
      </c>
      <c r="B23" t="s">
        <v>781</v>
      </c>
      <c r="C23" t="s">
        <v>779</v>
      </c>
      <c r="D23">
        <v>16</v>
      </c>
      <c r="E23">
        <v>123</v>
      </c>
      <c r="F23">
        <v>16</v>
      </c>
      <c r="G23">
        <v>305375</v>
      </c>
      <c r="H23">
        <v>2482.7199999999998</v>
      </c>
      <c r="I23" t="s">
        <v>759</v>
      </c>
    </row>
    <row r="24" spans="1:9" x14ac:dyDescent="0.25">
      <c r="A24">
        <v>2024</v>
      </c>
      <c r="B24" t="s">
        <v>782</v>
      </c>
      <c r="C24" t="s">
        <v>779</v>
      </c>
      <c r="D24">
        <v>20</v>
      </c>
      <c r="E24">
        <v>128</v>
      </c>
      <c r="F24">
        <v>18</v>
      </c>
      <c r="G24">
        <v>4456785</v>
      </c>
      <c r="H24">
        <v>34818.629999999997</v>
      </c>
      <c r="I24" t="s">
        <v>759</v>
      </c>
    </row>
    <row r="25" spans="1:9" x14ac:dyDescent="0.25">
      <c r="A25">
        <v>2024</v>
      </c>
      <c r="B25" t="s">
        <v>783</v>
      </c>
      <c r="C25" t="s">
        <v>779</v>
      </c>
      <c r="D25">
        <v>14</v>
      </c>
      <c r="E25">
        <v>32</v>
      </c>
      <c r="F25">
        <v>5</v>
      </c>
      <c r="G25">
        <v>175137</v>
      </c>
      <c r="H25">
        <v>5473.03</v>
      </c>
      <c r="I25" t="s">
        <v>759</v>
      </c>
    </row>
    <row r="26" spans="1:9" x14ac:dyDescent="0.25">
      <c r="A26">
        <v>2024</v>
      </c>
      <c r="B26" t="s">
        <v>784</v>
      </c>
      <c r="C26" t="s">
        <v>779</v>
      </c>
      <c r="D26">
        <v>32</v>
      </c>
      <c r="E26">
        <v>192</v>
      </c>
      <c r="F26">
        <v>19</v>
      </c>
      <c r="G26">
        <v>956090</v>
      </c>
      <c r="H26">
        <v>4979.6400000000003</v>
      </c>
      <c r="I26" t="s">
        <v>759</v>
      </c>
    </row>
    <row r="27" spans="1:9" x14ac:dyDescent="0.25">
      <c r="A27">
        <v>2024</v>
      </c>
      <c r="B27" t="s">
        <v>785</v>
      </c>
      <c r="C27" t="s">
        <v>786</v>
      </c>
      <c r="D27">
        <v>28</v>
      </c>
      <c r="E27">
        <v>212</v>
      </c>
      <c r="F27">
        <v>15</v>
      </c>
      <c r="G27">
        <v>592615</v>
      </c>
      <c r="H27">
        <v>2795.35</v>
      </c>
      <c r="I27" t="s">
        <v>759</v>
      </c>
    </row>
  </sheetData>
  <mergeCells count="2">
    <mergeCell ref="A1:I1"/>
    <mergeCell ref="A2:I2"/>
  </mergeCells>
  <conditionalFormatting sqref="D4:D27">
    <cfRule type="dataBar" priority="1">
      <dataBar>
        <cfvo type="min"/>
        <cfvo type="max"/>
        <color rgb="FF70AD47"/>
      </dataBar>
    </cfRule>
  </conditionalFormatting>
  <conditionalFormatting sqref="E4:E27">
    <cfRule type="dataBar" priority="2">
      <dataBar>
        <cfvo type="min"/>
        <cfvo type="max"/>
        <color rgb="FF70AD47"/>
      </dataBar>
    </cfRule>
  </conditionalFormatting>
  <conditionalFormatting sqref="F4:F27">
    <cfRule type="dataBar" priority="3">
      <dataBar>
        <cfvo type="min"/>
        <cfvo type="max"/>
        <color rgb="FF70AD47"/>
      </dataBar>
    </cfRule>
  </conditionalFormatting>
  <conditionalFormatting sqref="G4:G27">
    <cfRule type="dataBar" priority="4">
      <dataBar>
        <cfvo type="min"/>
        <cfvo type="max"/>
        <color rgb="FF70AD47"/>
      </dataBar>
    </cfRule>
  </conditionalFormatting>
  <conditionalFormatting sqref="H4:H27">
    <cfRule type="dataBar" priority="5">
      <dataBar>
        <cfvo type="min"/>
        <cfvo type="max"/>
        <color rgb="FF70AD47"/>
      </dataBar>
    </cfRule>
  </conditionalFormatting>
  <conditionalFormatting sqref="I4:I27">
    <cfRule type="containsText" dxfId="6" priority="6" operator="containsText" text="Measured">
      <formula>NOT(ISERROR(SEARCH("Measured",I4)))</formula>
    </cfRule>
  </conditionalFormatting>
  <printOptions horizontalCentered="1"/>
  <pageMargins left="0.25" right="0.25" top="0.4" bottom="0.4" header="0.3" footer="0.3"/>
  <pageSetup scale="84" fitToHeight="0" orientation="landscape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E14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RowHeight="15" x14ac:dyDescent="0.25"/>
  <cols>
    <col min="1" max="1" width="42.7109375" customWidth="1"/>
    <col min="2" max="3" width="12.7109375" customWidth="1"/>
    <col min="4" max="4" width="13.7109375" customWidth="1"/>
    <col min="5" max="5" width="32.7109375" customWidth="1"/>
  </cols>
  <sheetData>
    <row r="1" spans="1:5" ht="24" customHeight="1" x14ac:dyDescent="0.25">
      <c r="A1" s="3" t="s">
        <v>787</v>
      </c>
      <c r="B1" s="3"/>
      <c r="C1" s="3"/>
      <c r="D1" s="3"/>
      <c r="E1" s="3"/>
    </row>
    <row r="2" spans="1:5" ht="33.950000000000003" customHeight="1" x14ac:dyDescent="0.25">
      <c r="A2" s="4" t="s">
        <v>788</v>
      </c>
      <c r="B2" s="4"/>
      <c r="C2" s="4"/>
      <c r="D2" s="4"/>
      <c r="E2" s="4"/>
    </row>
    <row r="3" spans="1:5" x14ac:dyDescent="0.25">
      <c r="A3" t="s">
        <v>789</v>
      </c>
      <c r="B3" t="s">
        <v>790</v>
      </c>
      <c r="C3" t="s">
        <v>791</v>
      </c>
      <c r="D3" t="s">
        <v>24</v>
      </c>
      <c r="E3" t="s">
        <v>26</v>
      </c>
    </row>
    <row r="4" spans="1:5" x14ac:dyDescent="0.25">
      <c r="A4" t="s">
        <v>14</v>
      </c>
      <c r="B4">
        <v>651679.41</v>
      </c>
      <c r="C4">
        <v>0.63033899999999998</v>
      </c>
      <c r="D4">
        <v>2021</v>
      </c>
      <c r="E4" t="s">
        <v>792</v>
      </c>
    </row>
    <row r="5" spans="1:5" x14ac:dyDescent="0.25">
      <c r="A5" t="s">
        <v>15</v>
      </c>
      <c r="B5">
        <v>120840.41</v>
      </c>
      <c r="C5">
        <v>0.116883</v>
      </c>
      <c r="D5">
        <v>2021</v>
      </c>
      <c r="E5" t="s">
        <v>792</v>
      </c>
    </row>
    <row r="6" spans="1:5" x14ac:dyDescent="0.25">
      <c r="A6" t="s">
        <v>16</v>
      </c>
      <c r="B6">
        <v>94369.76</v>
      </c>
      <c r="C6">
        <v>9.1278999999999999E-2</v>
      </c>
      <c r="D6">
        <v>2021</v>
      </c>
      <c r="E6" t="s">
        <v>792</v>
      </c>
    </row>
    <row r="7" spans="1:5" x14ac:dyDescent="0.25">
      <c r="A7" t="s">
        <v>17</v>
      </c>
      <c r="B7">
        <v>61884.480000000003</v>
      </c>
      <c r="C7">
        <v>5.9858000000000001E-2</v>
      </c>
      <c r="D7">
        <v>2021</v>
      </c>
      <c r="E7" t="s">
        <v>792</v>
      </c>
    </row>
    <row r="8" spans="1:5" x14ac:dyDescent="0.25">
      <c r="A8" t="s">
        <v>18</v>
      </c>
      <c r="B8">
        <v>3754.84</v>
      </c>
      <c r="C8">
        <v>3.6319999999999998E-3</v>
      </c>
      <c r="D8">
        <v>2021</v>
      </c>
      <c r="E8" t="s">
        <v>792</v>
      </c>
    </row>
    <row r="9" spans="1:5" x14ac:dyDescent="0.25">
      <c r="A9" t="s">
        <v>19</v>
      </c>
      <c r="B9">
        <v>4866.7299999999996</v>
      </c>
      <c r="C9">
        <v>4.7070000000000002E-3</v>
      </c>
      <c r="D9">
        <v>2021</v>
      </c>
      <c r="E9" t="s">
        <v>792</v>
      </c>
    </row>
    <row r="10" spans="1:5" x14ac:dyDescent="0.25">
      <c r="A10" t="s">
        <v>20</v>
      </c>
      <c r="B10">
        <v>29631.33</v>
      </c>
      <c r="C10">
        <v>2.8660999999999999E-2</v>
      </c>
      <c r="D10">
        <v>2021</v>
      </c>
      <c r="E10" t="s">
        <v>792</v>
      </c>
    </row>
    <row r="11" spans="1:5" x14ac:dyDescent="0.25">
      <c r="A11" t="s">
        <v>21</v>
      </c>
      <c r="B11">
        <v>39573.199999999997</v>
      </c>
      <c r="C11">
        <v>3.8276999999999999E-2</v>
      </c>
      <c r="D11">
        <v>2021</v>
      </c>
      <c r="E11" t="s">
        <v>792</v>
      </c>
    </row>
    <row r="12" spans="1:5" x14ac:dyDescent="0.25">
      <c r="A12" t="s">
        <v>22</v>
      </c>
      <c r="B12">
        <v>27255.85</v>
      </c>
      <c r="C12">
        <v>2.6363000000000001E-2</v>
      </c>
      <c r="D12">
        <v>2021</v>
      </c>
      <c r="E12" t="s">
        <v>792</v>
      </c>
    </row>
    <row r="13" spans="1:5" x14ac:dyDescent="0.25">
      <c r="A13" t="s">
        <v>793</v>
      </c>
      <c r="B13">
        <v>0</v>
      </c>
      <c r="C13">
        <v>0</v>
      </c>
      <c r="D13">
        <v>2021</v>
      </c>
      <c r="E13" t="s">
        <v>792</v>
      </c>
    </row>
    <row r="14" spans="1:5" x14ac:dyDescent="0.25">
      <c r="A14" t="s">
        <v>794</v>
      </c>
      <c r="B14">
        <v>0</v>
      </c>
      <c r="C14">
        <v>0</v>
      </c>
      <c r="D14">
        <v>2021</v>
      </c>
      <c r="E14" t="s">
        <v>792</v>
      </c>
    </row>
  </sheetData>
  <mergeCells count="2">
    <mergeCell ref="A1:E1"/>
    <mergeCell ref="A2:E2"/>
  </mergeCells>
  <conditionalFormatting sqref="B4:C14">
    <cfRule type="dataBar" priority="1">
      <dataBar>
        <cfvo type="min"/>
        <cfvo type="max"/>
        <color rgb="FF5B9BD5"/>
      </dataBar>
    </cfRule>
  </conditionalFormatting>
  <printOptions horizontalCentered="1"/>
  <pageMargins left="0.25" right="0.25" top="0.4" bottom="0.4" header="0.3" footer="0.3"/>
  <pageSetup scale="88" fitToHeight="0"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F9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RowHeight="15" x14ac:dyDescent="0.25"/>
  <cols>
    <col min="1" max="4" width="12.7109375" customWidth="1"/>
    <col min="5" max="5" width="13.7109375" customWidth="1"/>
    <col min="6" max="6" width="32.7109375" customWidth="1"/>
  </cols>
  <sheetData>
    <row r="1" spans="1:6" ht="24" customHeight="1" x14ac:dyDescent="0.25">
      <c r="A1" s="3" t="s">
        <v>795</v>
      </c>
      <c r="B1" s="3"/>
      <c r="C1" s="3"/>
      <c r="D1" s="3"/>
      <c r="E1" s="3"/>
      <c r="F1" s="3"/>
    </row>
    <row r="2" spans="1:6" ht="33.950000000000003" customHeight="1" x14ac:dyDescent="0.25">
      <c r="A2" s="4" t="s">
        <v>796</v>
      </c>
      <c r="B2" s="4"/>
      <c r="C2" s="4"/>
      <c r="D2" s="4"/>
      <c r="E2" s="4"/>
      <c r="F2" s="4"/>
    </row>
    <row r="3" spans="1:6" x14ac:dyDescent="0.25">
      <c r="A3" t="s">
        <v>6</v>
      </c>
      <c r="B3" t="s">
        <v>797</v>
      </c>
      <c r="C3" t="s">
        <v>798</v>
      </c>
      <c r="D3" t="s">
        <v>799</v>
      </c>
      <c r="E3" t="s">
        <v>24</v>
      </c>
      <c r="F3" t="s">
        <v>26</v>
      </c>
    </row>
    <row r="4" spans="1:6" x14ac:dyDescent="0.25">
      <c r="A4" t="s">
        <v>31</v>
      </c>
      <c r="B4">
        <v>92</v>
      </c>
      <c r="C4">
        <v>7615.77</v>
      </c>
      <c r="D4">
        <v>103899.86</v>
      </c>
      <c r="E4">
        <v>2021</v>
      </c>
      <c r="F4" t="s">
        <v>792</v>
      </c>
    </row>
    <row r="5" spans="1:6" x14ac:dyDescent="0.25">
      <c r="A5" t="s">
        <v>126</v>
      </c>
      <c r="B5">
        <v>1</v>
      </c>
      <c r="C5">
        <v>7364.57</v>
      </c>
      <c r="D5">
        <v>7364.57</v>
      </c>
      <c r="E5">
        <v>2021</v>
      </c>
      <c r="F5" t="s">
        <v>792</v>
      </c>
    </row>
    <row r="6" spans="1:6" x14ac:dyDescent="0.25">
      <c r="A6" t="s">
        <v>48</v>
      </c>
      <c r="B6">
        <v>23</v>
      </c>
      <c r="C6">
        <v>6136.93</v>
      </c>
      <c r="D6">
        <v>36270.86</v>
      </c>
      <c r="E6">
        <v>2021</v>
      </c>
      <c r="F6" t="s">
        <v>792</v>
      </c>
    </row>
    <row r="7" spans="1:6" x14ac:dyDescent="0.25">
      <c r="A7" t="s">
        <v>96</v>
      </c>
      <c r="B7">
        <v>31</v>
      </c>
      <c r="C7">
        <v>2488.23</v>
      </c>
      <c r="D7">
        <v>8707.14</v>
      </c>
      <c r="E7">
        <v>2021</v>
      </c>
      <c r="F7" t="s">
        <v>792</v>
      </c>
    </row>
    <row r="8" spans="1:6" x14ac:dyDescent="0.25">
      <c r="A8" t="s">
        <v>166</v>
      </c>
      <c r="B8">
        <v>44</v>
      </c>
      <c r="C8">
        <v>1632.11</v>
      </c>
      <c r="D8">
        <v>5403.57</v>
      </c>
      <c r="E8">
        <v>2021</v>
      </c>
      <c r="F8" t="s">
        <v>792</v>
      </c>
    </row>
    <row r="9" spans="1:6" x14ac:dyDescent="0.25">
      <c r="A9" t="s">
        <v>112</v>
      </c>
      <c r="B9">
        <v>31</v>
      </c>
      <c r="C9">
        <v>1153</v>
      </c>
      <c r="D9">
        <v>8153.14</v>
      </c>
      <c r="E9">
        <v>2021</v>
      </c>
      <c r="F9" t="s">
        <v>792</v>
      </c>
    </row>
  </sheetData>
  <mergeCells count="2">
    <mergeCell ref="A1:F1"/>
    <mergeCell ref="A2:F2"/>
  </mergeCells>
  <conditionalFormatting sqref="B4:D9">
    <cfRule type="dataBar" priority="1">
      <dataBar>
        <cfvo type="min"/>
        <cfvo type="max"/>
        <color rgb="FF5B9BD5"/>
      </dataBar>
    </cfRule>
  </conditionalFormatting>
  <printOptions horizontalCentered="1"/>
  <pageMargins left="0.25" right="0.25" top="0.4" bottom="0.4" header="0.3" footer="0.3"/>
  <pageSetup fitToHeight="0" orientation="portrait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G4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RowHeight="15" x14ac:dyDescent="0.25"/>
  <cols>
    <col min="1" max="1" width="14.7109375" customWidth="1"/>
    <col min="2" max="5" width="12.7109375" customWidth="1"/>
    <col min="6" max="6" width="13.7109375" customWidth="1"/>
    <col min="7" max="7" width="32.7109375" customWidth="1"/>
  </cols>
  <sheetData>
    <row r="1" spans="1:7" ht="24" customHeight="1" x14ac:dyDescent="0.25">
      <c r="A1" s="3" t="s">
        <v>800</v>
      </c>
      <c r="B1" s="3"/>
      <c r="C1" s="3"/>
      <c r="D1" s="3"/>
      <c r="E1" s="3"/>
      <c r="F1" s="3"/>
      <c r="G1" s="3"/>
    </row>
    <row r="2" spans="1:7" ht="33.950000000000003" customHeight="1" x14ac:dyDescent="0.25">
      <c r="A2" s="4" t="s">
        <v>801</v>
      </c>
      <c r="B2" s="4"/>
      <c r="C2" s="4"/>
      <c r="D2" s="4"/>
      <c r="E2" s="4"/>
      <c r="F2" s="4"/>
      <c r="G2" s="4"/>
    </row>
    <row r="3" spans="1:7" x14ac:dyDescent="0.25">
      <c r="A3" t="s">
        <v>7</v>
      </c>
      <c r="B3" t="s">
        <v>797</v>
      </c>
      <c r="C3" t="s">
        <v>798</v>
      </c>
      <c r="D3" t="s">
        <v>802</v>
      </c>
      <c r="E3" t="s">
        <v>799</v>
      </c>
      <c r="F3" t="s">
        <v>24</v>
      </c>
      <c r="G3" t="s">
        <v>26</v>
      </c>
    </row>
    <row r="4" spans="1:7" x14ac:dyDescent="0.25">
      <c r="A4" t="s">
        <v>32</v>
      </c>
      <c r="B4">
        <v>222</v>
      </c>
      <c r="C4">
        <v>4657.0087387387393</v>
      </c>
      <c r="D4">
        <v>1710.2149999999999</v>
      </c>
      <c r="E4">
        <v>103899.86</v>
      </c>
      <c r="F4">
        <v>2021</v>
      </c>
      <c r="G4" t="s">
        <v>792</v>
      </c>
    </row>
  </sheetData>
  <mergeCells count="2">
    <mergeCell ref="A1:G1"/>
    <mergeCell ref="A2:G2"/>
  </mergeCells>
  <conditionalFormatting sqref="A4">
    <cfRule type="containsText" dxfId="5" priority="1" operator="containsText" text="Paved">
      <formula>NOT(ISERROR(SEARCH("Paved",A4)))</formula>
    </cfRule>
    <cfRule type="containsText" dxfId="4" priority="2" operator="containsText" text="Unpaved">
      <formula>NOT(ISERROR(SEARCH("Unpaved",A4)))</formula>
    </cfRule>
  </conditionalFormatting>
  <conditionalFormatting sqref="B4:E4">
    <cfRule type="dataBar" priority="3">
      <dataBar>
        <cfvo type="min"/>
        <cfvo type="max"/>
        <color rgb="FF70AD47"/>
      </dataBar>
    </cfRule>
  </conditionalFormatting>
  <printOptions horizontalCentered="1"/>
  <pageMargins left="0.25" right="0.25" top="0.4" bottom="0.4" header="0.3" footer="0.3"/>
  <pageSetup scale="90" fitToHeight="0" orientation="portrait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D9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RowHeight="15" x14ac:dyDescent="0.25"/>
  <cols>
    <col min="1" max="1" width="15.7109375" customWidth="1"/>
    <col min="2" max="3" width="19.7109375" customWidth="1"/>
    <col min="4" max="4" width="38.7109375" customWidth="1"/>
  </cols>
  <sheetData>
    <row r="1" spans="1:4" ht="24" customHeight="1" x14ac:dyDescent="0.25">
      <c r="A1" s="3" t="s">
        <v>803</v>
      </c>
      <c r="B1" s="3"/>
      <c r="C1" s="3"/>
      <c r="D1" s="3"/>
    </row>
    <row r="2" spans="1:4" ht="33.950000000000003" customHeight="1" x14ac:dyDescent="0.25">
      <c r="A2" s="4" t="s">
        <v>804</v>
      </c>
      <c r="B2" s="4"/>
      <c r="C2" s="4"/>
      <c r="D2" s="4"/>
    </row>
    <row r="3" spans="1:4" x14ac:dyDescent="0.25">
      <c r="A3" t="s">
        <v>805</v>
      </c>
      <c r="B3" t="s">
        <v>806</v>
      </c>
      <c r="C3" t="s">
        <v>807</v>
      </c>
      <c r="D3" t="s">
        <v>26</v>
      </c>
    </row>
    <row r="4" spans="1:4" x14ac:dyDescent="0.25">
      <c r="A4" t="s">
        <v>808</v>
      </c>
      <c r="B4">
        <v>99.2</v>
      </c>
      <c r="C4">
        <v>5</v>
      </c>
      <c r="D4" t="s">
        <v>809</v>
      </c>
    </row>
    <row r="5" spans="1:4" x14ac:dyDescent="0.25">
      <c r="A5" t="s">
        <v>810</v>
      </c>
      <c r="B5">
        <v>98.8</v>
      </c>
      <c r="C5">
        <v>5</v>
      </c>
      <c r="D5" t="s">
        <v>809</v>
      </c>
    </row>
    <row r="6" spans="1:4" x14ac:dyDescent="0.25">
      <c r="A6" t="s">
        <v>48</v>
      </c>
      <c r="B6">
        <v>97.5</v>
      </c>
      <c r="C6">
        <v>4</v>
      </c>
      <c r="D6" t="s">
        <v>809</v>
      </c>
    </row>
    <row r="7" spans="1:4" x14ac:dyDescent="0.25">
      <c r="A7" t="s">
        <v>112</v>
      </c>
      <c r="B7">
        <v>98.1</v>
      </c>
      <c r="C7">
        <v>4</v>
      </c>
      <c r="D7" t="s">
        <v>809</v>
      </c>
    </row>
    <row r="8" spans="1:4" x14ac:dyDescent="0.25">
      <c r="A8" t="s">
        <v>96</v>
      </c>
      <c r="B8">
        <v>99</v>
      </c>
      <c r="C8">
        <v>5</v>
      </c>
      <c r="D8" t="s">
        <v>809</v>
      </c>
    </row>
    <row r="9" spans="1:4" x14ac:dyDescent="0.25">
      <c r="A9" t="s">
        <v>811</v>
      </c>
      <c r="B9">
        <v>98.5</v>
      </c>
      <c r="C9">
        <v>4.5999999999999996</v>
      </c>
      <c r="D9" t="s">
        <v>809</v>
      </c>
    </row>
  </sheetData>
  <mergeCells count="2">
    <mergeCell ref="A1:D1"/>
    <mergeCell ref="A2:D2"/>
  </mergeCells>
  <conditionalFormatting sqref="B4:C9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rintOptions horizontalCentered="1"/>
  <pageMargins left="0.25" right="0.25" top="0.4" bottom="0.4" header="0.3" footer="0.3"/>
  <pageSetup fitToHeight="0" orientation="portrait"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C12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RowHeight="15" x14ac:dyDescent="0.25"/>
  <cols>
    <col min="1" max="1" width="24.7109375" customWidth="1"/>
    <col min="2" max="2" width="28.7109375" customWidth="1"/>
    <col min="3" max="3" width="90.7109375" customWidth="1"/>
  </cols>
  <sheetData>
    <row r="1" spans="1:3" ht="24" customHeight="1" x14ac:dyDescent="0.25">
      <c r="A1" s="3" t="s">
        <v>812</v>
      </c>
      <c r="B1" s="3"/>
      <c r="C1" s="3"/>
    </row>
    <row r="2" spans="1:3" ht="33.950000000000003" customHeight="1" x14ac:dyDescent="0.25">
      <c r="A2" s="4" t="s">
        <v>813</v>
      </c>
      <c r="B2" s="4"/>
      <c r="C2" s="4"/>
    </row>
    <row r="3" spans="1:3" x14ac:dyDescent="0.25">
      <c r="A3" t="s">
        <v>814</v>
      </c>
      <c r="B3" t="s">
        <v>815</v>
      </c>
      <c r="C3" t="s">
        <v>816</v>
      </c>
    </row>
    <row r="4" spans="1:3" x14ac:dyDescent="0.25">
      <c r="A4" t="s">
        <v>817</v>
      </c>
      <c r="B4" t="s">
        <v>818</v>
      </c>
      <c r="C4" t="s">
        <v>819</v>
      </c>
    </row>
    <row r="5" spans="1:3" x14ac:dyDescent="0.25">
      <c r="A5" t="s">
        <v>820</v>
      </c>
      <c r="B5" t="s">
        <v>821</v>
      </c>
      <c r="C5" t="s">
        <v>822</v>
      </c>
    </row>
    <row r="6" spans="1:3" x14ac:dyDescent="0.25">
      <c r="A6" t="s">
        <v>823</v>
      </c>
      <c r="B6" t="s">
        <v>821</v>
      </c>
      <c r="C6" t="s">
        <v>822</v>
      </c>
    </row>
    <row r="7" spans="1:3" x14ac:dyDescent="0.25">
      <c r="A7" t="s">
        <v>824</v>
      </c>
      <c r="B7" t="s">
        <v>821</v>
      </c>
      <c r="C7" t="s">
        <v>822</v>
      </c>
    </row>
    <row r="8" spans="1:3" x14ac:dyDescent="0.25">
      <c r="A8" t="s">
        <v>825</v>
      </c>
      <c r="B8" t="s">
        <v>826</v>
      </c>
      <c r="C8" t="s">
        <v>827</v>
      </c>
    </row>
    <row r="9" spans="1:3" x14ac:dyDescent="0.25">
      <c r="A9" t="s">
        <v>6</v>
      </c>
      <c r="B9" t="s">
        <v>818</v>
      </c>
      <c r="C9" t="s">
        <v>828</v>
      </c>
    </row>
    <row r="10" spans="1:3" x14ac:dyDescent="0.25">
      <c r="A10" t="s">
        <v>5</v>
      </c>
      <c r="B10" t="s">
        <v>818</v>
      </c>
      <c r="C10" t="s">
        <v>829</v>
      </c>
    </row>
    <row r="11" spans="1:3" x14ac:dyDescent="0.25">
      <c r="A11" t="s">
        <v>830</v>
      </c>
      <c r="B11" t="s">
        <v>818</v>
      </c>
      <c r="C11" t="s">
        <v>831</v>
      </c>
    </row>
    <row r="12" spans="1:3" x14ac:dyDescent="0.25">
      <c r="A12" t="s">
        <v>832</v>
      </c>
      <c r="B12" t="s">
        <v>818</v>
      </c>
      <c r="C12" t="s">
        <v>833</v>
      </c>
    </row>
  </sheetData>
  <mergeCells count="2">
    <mergeCell ref="A1:C1"/>
    <mergeCell ref="A2:C2"/>
  </mergeCells>
  <conditionalFormatting sqref="B4:B12">
    <cfRule type="containsText" dxfId="3" priority="1" operator="containsText" text="Available">
      <formula>NOT(ISERROR(SEARCH("Available",B4)))</formula>
    </cfRule>
    <cfRule type="containsText" dxfId="2" priority="2" operator="containsText" text="Unavailable">
      <formula>NOT(ISERROR(SEARCH("Unavailable",B4)))</formula>
    </cfRule>
  </conditionalFormatting>
  <printOptions horizontalCentered="1"/>
  <pageMargins left="0.25" right="0.25" top="0.4" bottom="0.4" header="0.3" footer="0.3"/>
  <pageSetup scale="70" fitToHeight="0" orientation="portrait"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D23"/>
  <sheetViews>
    <sheetView workbookViewId="0">
      <pane xSplit="1" ySplit="9" topLeftCell="B10" activePane="bottomRight" state="frozen"/>
      <selection pane="topRight" activeCell="B1" sqref="B1"/>
      <selection pane="bottomLeft" activeCell="A10" sqref="A10"/>
      <selection pane="bottomRight"/>
    </sheetView>
  </sheetViews>
  <sheetFormatPr defaultRowHeight="15" x14ac:dyDescent="0.25"/>
  <cols>
    <col min="1" max="3" width="18.7109375" customWidth="1"/>
    <col min="4" max="4" width="48.7109375" customWidth="1"/>
  </cols>
  <sheetData>
    <row r="1" spans="1:4" ht="21" x14ac:dyDescent="0.25">
      <c r="A1" s="3" t="s">
        <v>834</v>
      </c>
      <c r="B1" s="3"/>
      <c r="C1" s="3"/>
      <c r="D1" s="3"/>
    </row>
    <row r="2" spans="1:4" x14ac:dyDescent="0.25">
      <c r="A2" s="4" t="s">
        <v>835</v>
      </c>
      <c r="B2" s="4"/>
      <c r="C2" s="4"/>
      <c r="D2" s="4"/>
    </row>
    <row r="4" spans="1:4" x14ac:dyDescent="0.25">
      <c r="A4" s="1" t="s">
        <v>836</v>
      </c>
      <c r="B4" s="1" t="s">
        <v>837</v>
      </c>
      <c r="C4" s="1" t="s">
        <v>838</v>
      </c>
      <c r="D4" s="1" t="s">
        <v>839</v>
      </c>
    </row>
    <row r="5" spans="1:4" x14ac:dyDescent="0.25">
      <c r="A5" t="s">
        <v>840</v>
      </c>
      <c r="B5">
        <v>2021</v>
      </c>
      <c r="C5" t="s">
        <v>716</v>
      </c>
      <c r="D5" t="s">
        <v>841</v>
      </c>
    </row>
    <row r="6" spans="1:4" x14ac:dyDescent="0.25">
      <c r="A6" t="s">
        <v>842</v>
      </c>
      <c r="B6">
        <v>103899.86</v>
      </c>
      <c r="C6" t="s">
        <v>843</v>
      </c>
      <c r="D6" t="s">
        <v>844</v>
      </c>
    </row>
    <row r="7" spans="1:4" x14ac:dyDescent="0.25">
      <c r="A7" t="s">
        <v>845</v>
      </c>
      <c r="B7">
        <v>5.1999999999999998E-2</v>
      </c>
      <c r="C7" t="s">
        <v>846</v>
      </c>
      <c r="D7" t="s">
        <v>847</v>
      </c>
    </row>
    <row r="9" spans="1:4" x14ac:dyDescent="0.25">
      <c r="A9" t="s">
        <v>848</v>
      </c>
      <c r="B9" t="s">
        <v>849</v>
      </c>
      <c r="C9" t="s">
        <v>850</v>
      </c>
      <c r="D9" t="s">
        <v>851</v>
      </c>
    </row>
    <row r="10" spans="1:4" x14ac:dyDescent="0.25">
      <c r="A10">
        <v>2022</v>
      </c>
      <c r="B10" s="2">
        <f t="shared" ref="B10:B23" si="0">B$6*(1+B$7)^(A10-B$5)</f>
        <v>109302.65272</v>
      </c>
      <c r="C10" t="s">
        <v>852</v>
      </c>
      <c r="D10" t="s">
        <v>853</v>
      </c>
    </row>
    <row r="11" spans="1:4" x14ac:dyDescent="0.25">
      <c r="A11">
        <v>2023</v>
      </c>
      <c r="B11" s="2">
        <f t="shared" si="0"/>
        <v>114986.39066144002</v>
      </c>
      <c r="C11" t="s">
        <v>852</v>
      </c>
      <c r="D11" t="s">
        <v>853</v>
      </c>
    </row>
    <row r="12" spans="1:4" x14ac:dyDescent="0.25">
      <c r="A12">
        <v>2024</v>
      </c>
      <c r="B12" s="2">
        <f t="shared" si="0"/>
        <v>120965.6829758349</v>
      </c>
      <c r="C12" t="s">
        <v>852</v>
      </c>
      <c r="D12" t="s">
        <v>853</v>
      </c>
    </row>
    <row r="13" spans="1:4" x14ac:dyDescent="0.25">
      <c r="A13">
        <v>2025</v>
      </c>
      <c r="B13" s="2">
        <f t="shared" si="0"/>
        <v>127255.89849057833</v>
      </c>
      <c r="C13" t="s">
        <v>852</v>
      </c>
      <c r="D13" t="s">
        <v>853</v>
      </c>
    </row>
    <row r="14" spans="1:4" x14ac:dyDescent="0.25">
      <c r="A14">
        <v>2026</v>
      </c>
      <c r="B14" s="2">
        <f t="shared" si="0"/>
        <v>133873.20521208839</v>
      </c>
      <c r="C14" t="s">
        <v>852</v>
      </c>
      <c r="D14" t="s">
        <v>853</v>
      </c>
    </row>
    <row r="15" spans="1:4" x14ac:dyDescent="0.25">
      <c r="A15">
        <v>2027</v>
      </c>
      <c r="B15" s="2">
        <f t="shared" si="0"/>
        <v>140834.611883117</v>
      </c>
      <c r="C15" t="s">
        <v>852</v>
      </c>
      <c r="D15" t="s">
        <v>853</v>
      </c>
    </row>
    <row r="16" spans="1:4" x14ac:dyDescent="0.25">
      <c r="A16">
        <v>2028</v>
      </c>
      <c r="B16" s="2">
        <f t="shared" si="0"/>
        <v>148158.0117010391</v>
      </c>
      <c r="C16" t="s">
        <v>852</v>
      </c>
      <c r="D16" t="s">
        <v>853</v>
      </c>
    </row>
    <row r="17" spans="1:4" x14ac:dyDescent="0.25">
      <c r="A17">
        <v>2029</v>
      </c>
      <c r="B17" s="2">
        <f t="shared" si="0"/>
        <v>155862.22830949316</v>
      </c>
      <c r="C17" t="s">
        <v>852</v>
      </c>
      <c r="D17" t="s">
        <v>853</v>
      </c>
    </row>
    <row r="18" spans="1:4" x14ac:dyDescent="0.25">
      <c r="A18">
        <v>2030</v>
      </c>
      <c r="B18" s="2">
        <f t="shared" si="0"/>
        <v>163967.06418158681</v>
      </c>
      <c r="C18" t="s">
        <v>852</v>
      </c>
      <c r="D18" t="s">
        <v>853</v>
      </c>
    </row>
    <row r="19" spans="1:4" x14ac:dyDescent="0.25">
      <c r="A19">
        <v>2031</v>
      </c>
      <c r="B19" s="2">
        <f t="shared" si="0"/>
        <v>172493.35151902933</v>
      </c>
      <c r="C19" t="s">
        <v>852</v>
      </c>
      <c r="D19" t="s">
        <v>853</v>
      </c>
    </row>
    <row r="20" spans="1:4" x14ac:dyDescent="0.25">
      <c r="A20">
        <v>2032</v>
      </c>
      <c r="B20" s="2">
        <f t="shared" si="0"/>
        <v>181463.00579801889</v>
      </c>
      <c r="C20" t="s">
        <v>852</v>
      </c>
      <c r="D20" t="s">
        <v>853</v>
      </c>
    </row>
    <row r="21" spans="1:4" x14ac:dyDescent="0.25">
      <c r="A21">
        <v>2033</v>
      </c>
      <c r="B21" s="2">
        <f t="shared" si="0"/>
        <v>190899.08209951589</v>
      </c>
      <c r="C21" t="s">
        <v>852</v>
      </c>
      <c r="D21" t="s">
        <v>853</v>
      </c>
    </row>
    <row r="22" spans="1:4" x14ac:dyDescent="0.25">
      <c r="A22">
        <v>2034</v>
      </c>
      <c r="B22" s="2">
        <f t="shared" si="0"/>
        <v>200825.8343686907</v>
      </c>
      <c r="C22" t="s">
        <v>852</v>
      </c>
      <c r="D22" t="s">
        <v>853</v>
      </c>
    </row>
    <row r="23" spans="1:4" x14ac:dyDescent="0.25">
      <c r="A23">
        <v>2035</v>
      </c>
      <c r="B23" s="2">
        <f t="shared" si="0"/>
        <v>211268.77775586268</v>
      </c>
      <c r="C23" t="s">
        <v>852</v>
      </c>
      <c r="D23" t="s">
        <v>853</v>
      </c>
    </row>
  </sheetData>
  <mergeCells count="2">
    <mergeCell ref="A1:D1"/>
    <mergeCell ref="A2:D2"/>
  </mergeCells>
  <conditionalFormatting sqref="B10:B23">
    <cfRule type="dataBar" priority="1">
      <dataBar>
        <cfvo type="min"/>
        <cfvo type="max"/>
        <color rgb="FF5B9BD5"/>
      </dataBar>
    </cfRule>
    <cfRule type="expression" dxfId="1" priority="2">
      <formula>ISERROR(B10)</formula>
    </cfRule>
  </conditionalFormatting>
  <conditionalFormatting sqref="C10:C23">
    <cfRule type="containsText" dxfId="0" priority="3" operator="containsText" text="Projected">
      <formula>NOT(ISERROR(SEARCH("Projected",C10)))</formula>
    </cfRule>
  </conditionalFormatting>
  <printOptions horizontalCentered="1"/>
  <pageMargins left="0.25" right="0.25" top="0.4" bottom="0.4" header="0.3" footer="0.3"/>
  <pageSetup scale="97" fitToHeight="0" orientation="portrait" r:id="rId1"/>
  <drawing r:id="rId2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B16"/>
  <sheetViews>
    <sheetView workbookViewId="0">
      <pane xSplit="2" ySplit="3" topLeftCell="C4" activePane="bottomRight" state="frozen"/>
      <selection pane="topRight" activeCell="C1" sqref="C1"/>
      <selection pane="bottomLeft" activeCell="A4" sqref="A4"/>
      <selection pane="bottomRight"/>
    </sheetView>
  </sheetViews>
  <sheetFormatPr defaultRowHeight="15" x14ac:dyDescent="0.25"/>
  <cols>
    <col min="1" max="2" width="48.7109375" customWidth="1"/>
  </cols>
  <sheetData>
    <row r="1" spans="1:2" ht="24" customHeight="1" x14ac:dyDescent="0.25">
      <c r="A1" s="3" t="s">
        <v>854</v>
      </c>
      <c r="B1" s="3"/>
    </row>
    <row r="2" spans="1:2" ht="33.950000000000003" customHeight="1" x14ac:dyDescent="0.25">
      <c r="A2" s="4" t="s">
        <v>855</v>
      </c>
      <c r="B2" s="4"/>
    </row>
    <row r="3" spans="1:2" x14ac:dyDescent="0.25">
      <c r="A3" t="s">
        <v>856</v>
      </c>
      <c r="B3" t="s">
        <v>857</v>
      </c>
    </row>
    <row r="4" spans="1:2" x14ac:dyDescent="0.25">
      <c r="A4" t="s">
        <v>729</v>
      </c>
      <c r="B4" t="s">
        <v>858</v>
      </c>
    </row>
    <row r="5" spans="1:2" x14ac:dyDescent="0.25">
      <c r="A5" t="s">
        <v>735</v>
      </c>
      <c r="B5" t="s">
        <v>858</v>
      </c>
    </row>
    <row r="6" spans="1:2" x14ac:dyDescent="0.25">
      <c r="A6" t="s">
        <v>740</v>
      </c>
      <c r="B6" t="s">
        <v>858</v>
      </c>
    </row>
    <row r="7" spans="1:2" x14ac:dyDescent="0.25">
      <c r="A7" t="s">
        <v>745</v>
      </c>
      <c r="B7" t="s">
        <v>858</v>
      </c>
    </row>
    <row r="8" spans="1:2" x14ac:dyDescent="0.25">
      <c r="A8" t="s">
        <v>859</v>
      </c>
      <c r="B8" t="s">
        <v>858</v>
      </c>
    </row>
    <row r="9" spans="1:2" x14ac:dyDescent="0.25">
      <c r="A9" t="s">
        <v>860</v>
      </c>
      <c r="B9" t="s">
        <v>858</v>
      </c>
    </row>
    <row r="10" spans="1:2" x14ac:dyDescent="0.25">
      <c r="A10" t="s">
        <v>861</v>
      </c>
      <c r="B10" t="s">
        <v>858</v>
      </c>
    </row>
    <row r="13" spans="1:2" x14ac:dyDescent="0.25">
      <c r="A13" s="1" t="s">
        <v>862</v>
      </c>
    </row>
    <row r="14" spans="1:2" ht="30" customHeight="1" x14ac:dyDescent="0.25">
      <c r="A14" s="5" t="s">
        <v>863</v>
      </c>
      <c r="B14" s="5"/>
    </row>
    <row r="15" spans="1:2" ht="30" customHeight="1" x14ac:dyDescent="0.25">
      <c r="A15" s="5" t="s">
        <v>864</v>
      </c>
      <c r="B15" s="5"/>
    </row>
    <row r="16" spans="1:2" ht="30" customHeight="1" x14ac:dyDescent="0.25">
      <c r="A16" s="5" t="s">
        <v>865</v>
      </c>
      <c r="B16" s="5"/>
    </row>
  </sheetData>
  <mergeCells count="5">
    <mergeCell ref="A1:B1"/>
    <mergeCell ref="A2:B2"/>
    <mergeCell ref="A14:B14"/>
    <mergeCell ref="A15:B15"/>
    <mergeCell ref="A16:B16"/>
  </mergeCells>
  <printOptions horizontalCentered="1"/>
  <pageMargins left="0.25" right="0.25" top="0.4" bottom="0.4" header="0.3" footer="0.3"/>
  <pageSetup fitToHeight="0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20</vt:i4>
      </vt:variant>
    </vt:vector>
  </HeadingPairs>
  <TitlesOfParts>
    <vt:vector size="30" baseType="lpstr">
      <vt:lpstr>Traffic_Data_2021</vt:lpstr>
      <vt:lpstr>Annual_Trends</vt:lpstr>
      <vt:lpstr>Monthly_Trends</vt:lpstr>
      <vt:lpstr>Vehicle_Class_2021</vt:lpstr>
      <vt:lpstr>Region_Summary_2021</vt:lpstr>
      <vt:lpstr>Surface_Summary_2021</vt:lpstr>
      <vt:lpstr>ATC_Performance</vt:lpstr>
      <vt:lpstr>Dimension_Coverage</vt:lpstr>
      <vt:lpstr>Growth_Projection_Tool</vt:lpstr>
      <vt:lpstr>Sources_Method</vt:lpstr>
      <vt:lpstr>Annual_Trends!Print_Area</vt:lpstr>
      <vt:lpstr>ATC_Performance!Print_Area</vt:lpstr>
      <vt:lpstr>Dimension_Coverage!Print_Area</vt:lpstr>
      <vt:lpstr>Growth_Projection_Tool!Print_Area</vt:lpstr>
      <vt:lpstr>Monthly_Trends!Print_Area</vt:lpstr>
      <vt:lpstr>Region_Summary_2021!Print_Area</vt:lpstr>
      <vt:lpstr>Sources_Method!Print_Area</vt:lpstr>
      <vt:lpstr>Surface_Summary_2021!Print_Area</vt:lpstr>
      <vt:lpstr>Traffic_Data_2021!Print_Area</vt:lpstr>
      <vt:lpstr>Vehicle_Class_2021!Print_Area</vt:lpstr>
      <vt:lpstr>Annual_Trends!Print_Titles</vt:lpstr>
      <vt:lpstr>ATC_Performance!Print_Titles</vt:lpstr>
      <vt:lpstr>Dimension_Coverage!Print_Titles</vt:lpstr>
      <vt:lpstr>Growth_Projection_Tool!Print_Titles</vt:lpstr>
      <vt:lpstr>Monthly_Trends!Print_Titles</vt:lpstr>
      <vt:lpstr>Region_Summary_2021!Print_Titles</vt:lpstr>
      <vt:lpstr>Sources_Method!Print_Titles</vt:lpstr>
      <vt:lpstr>Surface_Summary_2021!Print_Titles</vt:lpstr>
      <vt:lpstr>Traffic_Data_2021!Print_Titles</vt:lpstr>
      <vt:lpstr>Vehicle_Class_2021!Print_Titles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PRISCA NANJEHE</cp:lastModifiedBy>
  <dcterms:created xsi:type="dcterms:W3CDTF">2026-10-17T21:39:43Z</dcterms:created>
  <dcterms:modified xsi:type="dcterms:W3CDTF">2026-10-17T21:40:10Z</dcterms:modified>
</cp:coreProperties>
</file>